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KA大盘出货数据" sheetId="1" state="visible" r:id="rId1"/>
    <sheet xmlns:r="http://schemas.openxmlformats.org/officeDocument/2006/relationships" name="2-单品出货POS对比" sheetId="2" state="visible" r:id="rId2"/>
    <sheet xmlns:r="http://schemas.openxmlformats.org/officeDocument/2006/relationships" name="3-门店库存周转天数" sheetId="3" state="visible" r:id="rId3"/>
    <sheet xmlns:r="http://schemas.openxmlformats.org/officeDocument/2006/relationships" name="4-超60天门店排名" sheetId="4" state="visible" r:id="rId4"/>
    <sheet xmlns:r="http://schemas.openxmlformats.org/officeDocument/2006/relationships" name="销售明细" sheetId="5" state="visible" r:id="rId5"/>
    <sheet xmlns:r="http://schemas.openxmlformats.org/officeDocument/2006/relationships" name="库存明细" sheetId="6" state="visible" r:id="rId6"/>
    <sheet xmlns:r="http://schemas.openxmlformats.org/officeDocument/2006/relationships" name="出货退货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"/>
    <numFmt numFmtId="166" formatCode="0.0%"/>
    <numFmt numFmtId="167" formatCode="yyyy-mm-dd h:mm:ss"/>
    <numFmt numFmtId="168" formatCode="yyyy\-mm\-dd"/>
  </numFmts>
  <fonts count="9">
    <font>
      <name val="Calibri"/>
      <family val="2"/>
      <color theme="1"/>
      <sz val="11"/>
      <scheme val="minor"/>
    </font>
    <font>
      <name val="微软雅黑"/>
      <b val="1"/>
      <color rgb="0017202A"/>
      <sz val="18"/>
    </font>
    <font>
      <name val="微软雅黑"/>
      <color rgb="005B6675"/>
      <sz val="9"/>
    </font>
    <font>
      <name val="微软雅黑"/>
      <b val="1"/>
      <color rgb="005B6675"/>
      <sz val="9"/>
    </font>
    <font>
      <name val="微软雅黑"/>
      <b val="1"/>
      <color rgb="0017202A"/>
      <sz val="10"/>
    </font>
    <font>
      <name val="微软雅黑"/>
      <color rgb="0017202A"/>
      <sz val="10"/>
    </font>
    <font>
      <name val="微软雅黑"/>
      <b val="1"/>
      <color rgb="0017202A"/>
      <sz val="12"/>
    </font>
    <font>
      <name val="宋体"/>
      <charset val="134"/>
      <b val="1"/>
      <color rgb="FF17202A"/>
      <sz val="11"/>
      <scheme val="minor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6F8FB"/>
      </patternFill>
    </fill>
    <fill>
      <patternFill patternType="solid">
        <fgColor rgb="00FFFFFF"/>
      </patternFill>
    </fill>
    <fill>
      <patternFill patternType="solid">
        <fgColor rgb="00EAF0F8"/>
      </patternFill>
    </fill>
    <fill>
      <patternFill patternType="solid">
        <fgColor rgb="00D9EAF7"/>
      </patternFill>
    </fill>
    <fill>
      <patternFill patternType="solid">
        <fgColor rgb="FFEAF0F8"/>
        <bgColor indexed="64"/>
      </patternFill>
    </fill>
  </fills>
  <borders count="3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pivotButton="0" quotePrefix="0" xfId="0"/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168" fontId="8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3" fontId="8" fillId="0" borderId="2" applyAlignment="1" pivotButton="0" quotePrefix="0" xfId="0">
      <alignment vertical="center" wrapText="1"/>
    </xf>
    <xf numFmtId="165" fontId="8" fillId="0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系统出货金额 vs POS销售额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'1-KA大盘出货数据'!D6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'1-KA大盘出货数据'!$B$7:$B$14</f>
            </numRef>
          </cat>
          <val>
            <numRef>
              <f>'1-KA大盘出货数据'!$D$7:$D$14</f>
            </numRef>
          </val>
        </ser>
        <ser>
          <idx val="1"/>
          <order val="1"/>
          <tx>
            <strRef>
              <f>'1-KA大盘出货数据'!E6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'1-KA大盘出货数据'!$B$7:$B$14</f>
            </numRef>
          </cat>
          <val>
            <numRef>
              <f>'1-KA大盘出货数据'!$E$7:$E$14</f>
            </numRef>
          </val>
        </ser>
        <ser>
          <idx val="2"/>
          <order val="2"/>
          <tx>
            <strRef>
              <f>'1-KA大盘出货数据'!F6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'1-KA大盘出货数据'!$B$7:$B$14</f>
            </numRef>
          </cat>
          <val>
            <numRef>
              <f>'1-KA大盘出货数据'!$F$7:$F$14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by单品出货数量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'1-KA大盘出货数据'!E18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'1-KA大盘出货数据'!$C$19:$C$24</f>
            </numRef>
          </cat>
          <val>
            <numRef>
              <f>'1-KA大盘出货数据'!$E$19:$E$24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单品出货额 vs POS额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'2-单品出货POS对比'!E6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'2-单品出货POS对比'!$D$7:$D$12</f>
            </numRef>
          </cat>
          <val>
            <numRef>
              <f>'2-单品出货POS对比'!$E$7:$E$12</f>
            </numRef>
          </val>
        </ser>
        <ser>
          <idx val="1"/>
          <order val="1"/>
          <tx>
            <strRef>
              <f>'2-单品出货POS对比'!F6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'2-单品出货POS对比'!$D$7:$D$12</f>
            </numRef>
          </cat>
          <val>
            <numRef>
              <f>'2-单品出货POS对比'!$F$7:$F$12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出货/POS额比例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'2-单品出货POS对比'!H6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'2-单品出货POS对比'!$D$7:$D$12</f>
            </numRef>
          </cat>
          <val>
            <numRef>
              <f>'2-单品出货POS对比'!$H$7:$H$12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各大区单品库存周转天数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'3-门店库存周转天数'!G6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'3-门店库存周转天数'!$D$7:$D$12</f>
            </numRef>
          </cat>
          <val>
            <numRef>
              <f>'3-门店库存周转天数'!$G$7:$G$12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门店库存 vs 近7日均销</a:t>
            </a:r>
          </a:p>
        </rich>
      </tx>
    </title>
    <plotArea>
      <lineChart>
        <grouping val="standard"/>
        <ser>
          <idx val="0"/>
          <order val="0"/>
          <tx>
            <strRef>
              <f>'3-门店库存周转天数'!E6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'3-门店库存周转天数'!$D$7:$D$12</f>
            </numRef>
          </cat>
          <val>
            <numRef>
              <f>'3-门店库存周转天数'!$E$7:$E$12</f>
            </numRef>
          </val>
        </ser>
        <ser>
          <idx val="1"/>
          <order val="1"/>
          <tx>
            <strRef>
              <f>'3-门店库存周转天数'!F6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'3-门店库存周转天数'!$D$7:$D$12</f>
            </numRef>
          </cat>
          <val>
            <numRef>
              <f>'3-门店库存周转天数'!$F$7:$F$12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各大区超60天门店数排名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'4-超60天门店排名'!D6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'4-超60天门店排名'!$C$7:$C$11</f>
            </numRef>
          </cat>
          <val>
            <numRef>
              <f>'4-超60天门店排名'!$D$7:$D$11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区域平均周转天数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'4-超60天门店排名'!G6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'4-超60天门店排名'!$C$7:$C$11</f>
            </numRef>
          </cat>
          <val>
            <numRef>
              <f>'4-超60天门店排名'!$G$7:$G$11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20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2" customHeight="1">
      <c r="A1" s="1" t="inlineStr">
        <is>
          <t>KA大盘出货数据</t>
        </is>
      </c>
    </row>
    <row r="2" ht="22" customHeight="1">
      <c r="A2" s="2" t="inlineStr">
        <is>
          <t>关键词：系统每天出货数量、出货金额；by单品、by渠道、by数量、by金额。</t>
        </is>
      </c>
    </row>
    <row r="3" ht="22" customHeight="1">
      <c r="A3" s="3" t="n"/>
      <c r="B3" s="4" t="inlineStr">
        <is>
          <t>统计日期</t>
        </is>
      </c>
      <c r="C3" s="5">
        <f>MAX('销售明细'!A2:A500)</f>
        <v/>
      </c>
      <c r="D3" s="3" t="n"/>
      <c r="E3" s="4" t="inlineStr">
        <is>
          <t>KA系统</t>
        </is>
      </c>
      <c r="F3" s="6" t="inlineStr">
        <is>
          <t>全部</t>
        </is>
      </c>
      <c r="G3" s="3" t="n"/>
      <c r="H3" s="4" t="inlineStr">
        <is>
          <t>大区</t>
        </is>
      </c>
      <c r="I3" s="6" t="inlineStr">
        <is>
          <t>全部</t>
        </is>
      </c>
      <c r="J3" s="3" t="n"/>
      <c r="K3" s="4" t="inlineStr">
        <is>
          <t>省份</t>
        </is>
      </c>
      <c r="L3" s="6" t="inlineStr">
        <is>
          <t>全部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22" customHeight="1">
      <c r="A5" s="3" t="n"/>
      <c r="B5" s="7" t="inlineStr">
        <is>
          <t>汇总：系统每天出货数量、出货金额（by系统/by数量/by金额）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 ht="22" customHeight="1">
      <c r="A6" s="3" t="n"/>
      <c r="B6" s="9" t="inlineStr">
        <is>
          <t>KA系统</t>
        </is>
      </c>
      <c r="C6" s="9" t="inlineStr">
        <is>
          <t>出货数量</t>
        </is>
      </c>
      <c r="D6" s="9" t="inlineStr">
        <is>
          <t>出货金额</t>
        </is>
      </c>
      <c r="E6" s="9" t="inlineStr">
        <is>
          <t>POS销售数量</t>
        </is>
      </c>
      <c r="F6" s="9" t="inlineStr">
        <is>
          <t>POS销售额</t>
        </is>
      </c>
      <c r="G6" s="9" t="inlineStr">
        <is>
          <t>出货/POS额</t>
        </is>
      </c>
      <c r="H6" s="9" t="inlineStr">
        <is>
          <t>退货数量</t>
        </is>
      </c>
      <c r="I6" s="9" t="inlineStr">
        <is>
          <t>退货金额</t>
        </is>
      </c>
      <c r="J6" s="9" t="inlineStr">
        <is>
          <t>数据状态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ht="22" customHeight="1">
      <c r="A7" s="3" t="n"/>
      <c r="B7" s="10" t="inlineStr">
        <is>
          <t>大润发</t>
        </is>
      </c>
      <c r="C7" s="11">
        <f>SUMPRODUCT(('出货退货'!$A$2:$A$500=$C$3)*--(('出货退货'!$B$2:$B$500=B7)&gt;0)*--((($I$3="全部")+('出货退货'!$C$2:$C$500=$I$3))&gt;0)*--((($L$3="全部")+('出货退货'!$D$2:$D$500=$L$3))&gt;0)*'出货退货'!$I$2:$I$500)</f>
        <v/>
      </c>
      <c r="D7" s="11">
        <f>SUMPRODUCT(('出货退货'!$A$2:$A$500=$C$3)*--(('出货退货'!$B$2:$B$500=B7)&gt;0)*--((($I$3="全部")+('出货退货'!$C$2:$C$500=$I$3))&gt;0)*--((($L$3="全部")+('出货退货'!$D$2:$D$500=$L$3))&gt;0)*'出货退货'!$J$2:$J$500)</f>
        <v/>
      </c>
      <c r="E7" s="11">
        <f>SUMPRODUCT(('销售明细'!$A$2:$A$500=$C$3)*--(('销售明细'!$B$2:$B$500=B7)&gt;0)*--((($I$3="全部")+('销售明细'!$C$2:$C$500=$I$3))&gt;0)*--((($L$3="全部")+('销售明细'!$D$2:$D$500=$L$3))&gt;0)*'销售明细'!$N$2:$N$500)</f>
        <v/>
      </c>
      <c r="F7" s="11">
        <f>SUMPRODUCT(('销售明细'!$A$2:$A$500=$C$3)*--(('销售明细'!$B$2:$B$500=B7)&gt;0)*--((($I$3="全部")+('销售明细'!$C$2:$C$500=$I$3))&gt;0)*--((($L$3="全部")+('销售明细'!$D$2:$D$500=$L$3))&gt;0)*'销售明细'!$O$2:$O$500)</f>
        <v/>
      </c>
      <c r="G7" s="12">
        <f>IFERROR(D7/F7,0)</f>
        <v/>
      </c>
      <c r="H7" s="11">
        <f>SUMPRODUCT(('出货退货'!$A$2:$A$500=$C$3)*--(('出货退货'!$B$2:$B$500=B7)&gt;0)*--((($I$3="全部")+('出货退货'!$C$2:$C$500=$I$3))&gt;0)*--((($L$3="全部")+('出货退货'!$D$2:$D$500=$L$3))&gt;0)*'出货退货'!$K$2:$K$500)</f>
        <v/>
      </c>
      <c r="I7" s="11">
        <f>SUMPRODUCT(('出货退货'!$A$2:$A$500=$C$3)*--(('出货退货'!$B$2:$B$500=B7)&gt;0)*--((($I$3="全部")+('出货退货'!$C$2:$C$500=$I$3))&gt;0)*--((($L$3="全部")+('出货退货'!$D$2:$D$500=$L$3))&gt;0)*'出货退货'!$L$2:$L$500)</f>
        <v/>
      </c>
      <c r="J7" s="10">
        <f>IF(D7=0,"缺出货金额",IF(C7=0,"缺出货数量","可用"))</f>
        <v/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 ht="22" customHeight="1">
      <c r="A8" s="3" t="n"/>
      <c r="B8" s="10" t="inlineStr">
        <is>
          <t>盒马</t>
        </is>
      </c>
      <c r="C8" s="11">
        <f>SUMPRODUCT(('出货退货'!$A$2:$A$500=$C$3)*--(('出货退货'!$B$2:$B$500=B8)&gt;0)*--((($I$3="全部")+('出货退货'!$C$2:$C$500=$I$3))&gt;0)*--((($L$3="全部")+('出货退货'!$D$2:$D$500=$L$3))&gt;0)*'出货退货'!$I$2:$I$500)</f>
        <v/>
      </c>
      <c r="D8" s="11">
        <f>SUMPRODUCT(('出货退货'!$A$2:$A$500=$C$3)*--(('出货退货'!$B$2:$B$500=B8)&gt;0)*--((($I$3="全部")+('出货退货'!$C$2:$C$500=$I$3))&gt;0)*--((($L$3="全部")+('出货退货'!$D$2:$D$500=$L$3))&gt;0)*'出货退货'!$J$2:$J$500)</f>
        <v/>
      </c>
      <c r="E8" s="11">
        <f>SUMPRODUCT(('销售明细'!$A$2:$A$500=$C$3)*--(('销售明细'!$B$2:$B$500=B8)&gt;0)*--((($I$3="全部")+('销售明细'!$C$2:$C$500=$I$3))&gt;0)*--((($L$3="全部")+('销售明细'!$D$2:$D$500=$L$3))&gt;0)*'销售明细'!$N$2:$N$500)</f>
        <v/>
      </c>
      <c r="F8" s="11">
        <f>SUMPRODUCT(('销售明细'!$A$2:$A$500=$C$3)*--(('销售明细'!$B$2:$B$500=B8)&gt;0)*--((($I$3="全部")+('销售明细'!$C$2:$C$500=$I$3))&gt;0)*--((($L$3="全部")+('销售明细'!$D$2:$D$500=$L$3))&gt;0)*'销售明细'!$O$2:$O$500)</f>
        <v/>
      </c>
      <c r="G8" s="12">
        <f>IFERROR(D8/F8,0)</f>
        <v/>
      </c>
      <c r="H8" s="11">
        <f>SUMPRODUCT(('出货退货'!$A$2:$A$500=$C$3)*--(('出货退货'!$B$2:$B$500=B8)&gt;0)*--((($I$3="全部")+('出货退货'!$C$2:$C$500=$I$3))&gt;0)*--((($L$3="全部")+('出货退货'!$D$2:$D$500=$L$3))&gt;0)*'出货退货'!$K$2:$K$500)</f>
        <v/>
      </c>
      <c r="I8" s="11">
        <f>SUMPRODUCT(('出货退货'!$A$2:$A$500=$C$3)*--(('出货退货'!$B$2:$B$500=B8)&gt;0)*--((($I$3="全部")+('出货退货'!$C$2:$C$500=$I$3))&gt;0)*--((($L$3="全部")+('出货退货'!$D$2:$D$500=$L$3))&gt;0)*'出货退货'!$L$2:$L$500)</f>
        <v/>
      </c>
      <c r="J8" s="10">
        <f>IF(D8=0,"缺出货金额",IF(C8=0,"缺出货数量","可用"))</f>
        <v/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 ht="22" customHeight="1">
      <c r="A9" s="3" t="n"/>
      <c r="B9" s="10" t="inlineStr">
        <is>
          <t>华润</t>
        </is>
      </c>
      <c r="C9" s="11">
        <f>SUMPRODUCT(('出货退货'!$A$2:$A$500=$C$3)*--(('出货退货'!$B$2:$B$500=B9)&gt;0)*--((($I$3="全部")+('出货退货'!$C$2:$C$500=$I$3))&gt;0)*--((($L$3="全部")+('出货退货'!$D$2:$D$500=$L$3))&gt;0)*'出货退货'!$I$2:$I$500)</f>
        <v/>
      </c>
      <c r="D9" s="11">
        <f>SUMPRODUCT(('出货退货'!$A$2:$A$500=$C$3)*--(('出货退货'!$B$2:$B$500=B9)&gt;0)*--((($I$3="全部")+('出货退货'!$C$2:$C$500=$I$3))&gt;0)*--((($L$3="全部")+('出货退货'!$D$2:$D$500=$L$3))&gt;0)*'出货退货'!$J$2:$J$500)</f>
        <v/>
      </c>
      <c r="E9" s="11">
        <f>SUMPRODUCT(('销售明细'!$A$2:$A$500=$C$3)*--(('销售明细'!$B$2:$B$500=B9)&gt;0)*--((($I$3="全部")+('销售明细'!$C$2:$C$500=$I$3))&gt;0)*--((($L$3="全部")+('销售明细'!$D$2:$D$500=$L$3))&gt;0)*'销售明细'!$N$2:$N$500)</f>
        <v/>
      </c>
      <c r="F9" s="11">
        <f>SUMPRODUCT(('销售明细'!$A$2:$A$500=$C$3)*--(('销售明细'!$B$2:$B$500=B9)&gt;0)*--((($I$3="全部")+('销售明细'!$C$2:$C$500=$I$3))&gt;0)*--((($L$3="全部")+('销售明细'!$D$2:$D$500=$L$3))&gt;0)*'销售明细'!$O$2:$O$500)</f>
        <v/>
      </c>
      <c r="G9" s="12">
        <f>IFERROR(D9/F9,0)</f>
        <v/>
      </c>
      <c r="H9" s="11">
        <f>SUMPRODUCT(('出货退货'!$A$2:$A$500=$C$3)*--(('出货退货'!$B$2:$B$500=B9)&gt;0)*--((($I$3="全部")+('出货退货'!$C$2:$C$500=$I$3))&gt;0)*--((($L$3="全部")+('出货退货'!$D$2:$D$500=$L$3))&gt;0)*'出货退货'!$K$2:$K$500)</f>
        <v/>
      </c>
      <c r="I9" s="11">
        <f>SUMPRODUCT(('出货退货'!$A$2:$A$500=$C$3)*--(('出货退货'!$B$2:$B$500=B9)&gt;0)*--((($I$3="全部")+('出货退货'!$C$2:$C$500=$I$3))&gt;0)*--((($L$3="全部")+('出货退货'!$D$2:$D$500=$L$3))&gt;0)*'出货退货'!$L$2:$L$500)</f>
        <v/>
      </c>
      <c r="J9" s="10">
        <f>IF(D9=0,"缺出货金额",IF(C9=0,"缺出货数量","可用"))</f>
        <v/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ht="22" customHeight="1">
      <c r="A10" s="3" t="n"/>
      <c r="B10" s="10" t="inlineStr">
        <is>
          <t>沃尔玛</t>
        </is>
      </c>
      <c r="C10" s="11">
        <f>SUMPRODUCT(('出货退货'!$A$2:$A$500=$C$3)*--(('出货退货'!$B$2:$B$500=B10)&gt;0)*--((($I$3="全部")+('出货退货'!$C$2:$C$500=$I$3))&gt;0)*--((($L$3="全部")+('出货退货'!$D$2:$D$500=$L$3))&gt;0)*'出货退货'!$I$2:$I$500)</f>
        <v/>
      </c>
      <c r="D10" s="11">
        <f>SUMPRODUCT(('出货退货'!$A$2:$A$500=$C$3)*--(('出货退货'!$B$2:$B$500=B10)&gt;0)*--((($I$3="全部")+('出货退货'!$C$2:$C$500=$I$3))&gt;0)*--((($L$3="全部")+('出货退货'!$D$2:$D$500=$L$3))&gt;0)*'出货退货'!$J$2:$J$500)</f>
        <v/>
      </c>
      <c r="E10" s="11">
        <f>SUMPRODUCT(('销售明细'!$A$2:$A$500=$C$3)*--(('销售明细'!$B$2:$B$500=B10)&gt;0)*--((($I$3="全部")+('销售明细'!$C$2:$C$500=$I$3))&gt;0)*--((($L$3="全部")+('销售明细'!$D$2:$D$500=$L$3))&gt;0)*'销售明细'!$N$2:$N$500)</f>
        <v/>
      </c>
      <c r="F10" s="11">
        <f>SUMPRODUCT(('销售明细'!$A$2:$A$500=$C$3)*--(('销售明细'!$B$2:$B$500=B10)&gt;0)*--((($I$3="全部")+('销售明细'!$C$2:$C$500=$I$3))&gt;0)*--((($L$3="全部")+('销售明细'!$D$2:$D$500=$L$3))&gt;0)*'销售明细'!$O$2:$O$500)</f>
        <v/>
      </c>
      <c r="G10" s="12">
        <f>IFERROR(D10/F10,0)</f>
        <v/>
      </c>
      <c r="H10" s="11">
        <f>SUMPRODUCT(('出货退货'!$A$2:$A$500=$C$3)*--(('出货退货'!$B$2:$B$500=B10)&gt;0)*--((($I$3="全部")+('出货退货'!$C$2:$C$500=$I$3))&gt;0)*--((($L$3="全部")+('出货退货'!$D$2:$D$500=$L$3))&gt;0)*'出货退货'!$K$2:$K$500)</f>
        <v/>
      </c>
      <c r="I10" s="11">
        <f>SUMPRODUCT(('出货退货'!$A$2:$A$500=$C$3)*--(('出货退货'!$B$2:$B$500=B10)&gt;0)*--((($I$3="全部")+('出货退货'!$C$2:$C$500=$I$3))&gt;0)*--((($L$3="全部")+('出货退货'!$D$2:$D$500=$L$3))&gt;0)*'出货退货'!$L$2:$L$500)</f>
        <v/>
      </c>
      <c r="J10" s="10">
        <f>IF(D10=0,"缺出货金额",IF(C10=0,"缺出货数量","可用"))</f>
        <v/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 ht="22" customHeight="1">
      <c r="A11" s="3" t="n"/>
      <c r="B11" s="10" t="inlineStr">
        <is>
          <t>永辉</t>
        </is>
      </c>
      <c r="C11" s="11">
        <f>SUMPRODUCT(('出货退货'!$A$2:$A$500=$C$3)*--(('出货退货'!$B$2:$B$500=B11)&gt;0)*--((($I$3="全部")+('出货退货'!$C$2:$C$500=$I$3))&gt;0)*--((($L$3="全部")+('出货退货'!$D$2:$D$500=$L$3))&gt;0)*'出货退货'!$I$2:$I$500)</f>
        <v/>
      </c>
      <c r="D11" s="11">
        <f>SUMPRODUCT(('出货退货'!$A$2:$A$500=$C$3)*--(('出货退货'!$B$2:$B$500=B11)&gt;0)*--((($I$3="全部")+('出货退货'!$C$2:$C$500=$I$3))&gt;0)*--((($L$3="全部")+('出货退货'!$D$2:$D$500=$L$3))&gt;0)*'出货退货'!$J$2:$J$500)</f>
        <v/>
      </c>
      <c r="E11" s="11">
        <f>SUMPRODUCT(('销售明细'!$A$2:$A$500=$C$3)*--(('销售明细'!$B$2:$B$500=B11)&gt;0)*--((($I$3="全部")+('销售明细'!$C$2:$C$500=$I$3))&gt;0)*--((($L$3="全部")+('销售明细'!$D$2:$D$500=$L$3))&gt;0)*'销售明细'!$N$2:$N$500)</f>
        <v/>
      </c>
      <c r="F11" s="11">
        <f>SUMPRODUCT(('销售明细'!$A$2:$A$500=$C$3)*--(('销售明细'!$B$2:$B$500=B11)&gt;0)*--((($I$3="全部")+('销售明细'!$C$2:$C$500=$I$3))&gt;0)*--((($L$3="全部")+('销售明细'!$D$2:$D$500=$L$3))&gt;0)*'销售明细'!$O$2:$O$500)</f>
        <v/>
      </c>
      <c r="G11" s="12">
        <f>IFERROR(D11/F11,0)</f>
        <v/>
      </c>
      <c r="H11" s="11">
        <f>SUMPRODUCT(('出货退货'!$A$2:$A$500=$C$3)*--(('出货退货'!$B$2:$B$500=B11)&gt;0)*--((($I$3="全部")+('出货退货'!$C$2:$C$500=$I$3))&gt;0)*--((($L$3="全部")+('出货退货'!$D$2:$D$500=$L$3))&gt;0)*'出货退货'!$K$2:$K$500)</f>
        <v/>
      </c>
      <c r="I11" s="11">
        <f>SUMPRODUCT(('出货退货'!$A$2:$A$500=$C$3)*--(('出货退货'!$B$2:$B$500=B11)&gt;0)*--((($I$3="全部")+('出货退货'!$C$2:$C$500=$I$3))&gt;0)*--((($L$3="全部")+('出货退货'!$D$2:$D$500=$L$3))&gt;0)*'出货退货'!$L$2:$L$500)</f>
        <v/>
      </c>
      <c r="J11" s="10">
        <f>IF(D11=0,"缺出货金额",IF(C11=0,"缺出货数量","可用"))</f>
        <v/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 ht="22" customHeight="1">
      <c r="A12" s="3" t="n"/>
      <c r="B12" s="10" t="inlineStr">
        <is>
          <t>天虹</t>
        </is>
      </c>
      <c r="C12" s="11">
        <f>SUMPRODUCT(('出货退货'!$A$2:$A$500=$C$3)*--(('出货退货'!$B$2:$B$500=B12)&gt;0)*--((($I$3="全部")+('出货退货'!$C$2:$C$500=$I$3))&gt;0)*--((($L$3="全部")+('出货退货'!$D$2:$D$500=$L$3))&gt;0)*'出货退货'!$I$2:$I$500)</f>
        <v/>
      </c>
      <c r="D12" s="11">
        <f>SUMPRODUCT(('出货退货'!$A$2:$A$500=$C$3)*--(('出货退货'!$B$2:$B$500=B12)&gt;0)*--((($I$3="全部")+('出货退货'!$C$2:$C$500=$I$3))&gt;0)*--((($L$3="全部")+('出货退货'!$D$2:$D$500=$L$3))&gt;0)*'出货退货'!$J$2:$J$500)</f>
        <v/>
      </c>
      <c r="E12" s="11">
        <f>SUMPRODUCT(('销售明细'!$A$2:$A$500=$C$3)*--(('销售明细'!$B$2:$B$500=B12)&gt;0)*--((($I$3="全部")+('销售明细'!$C$2:$C$500=$I$3))&gt;0)*--((($L$3="全部")+('销售明细'!$D$2:$D$500=$L$3))&gt;0)*'销售明细'!$N$2:$N$500)</f>
        <v/>
      </c>
      <c r="F12" s="11">
        <f>SUMPRODUCT(('销售明细'!$A$2:$A$500=$C$3)*--(('销售明细'!$B$2:$B$500=B12)&gt;0)*--((($I$3="全部")+('销售明细'!$C$2:$C$500=$I$3))&gt;0)*--((($L$3="全部")+('销售明细'!$D$2:$D$500=$L$3))&gt;0)*'销售明细'!$O$2:$O$500)</f>
        <v/>
      </c>
      <c r="G12" s="12">
        <f>IFERROR(D12/F12,0)</f>
        <v/>
      </c>
      <c r="H12" s="11">
        <f>SUMPRODUCT(('出货退货'!$A$2:$A$500=$C$3)*--(('出货退货'!$B$2:$B$500=B12)&gt;0)*--((($I$3="全部")+('出货退货'!$C$2:$C$500=$I$3))&gt;0)*--((($L$3="全部")+('出货退货'!$D$2:$D$500=$L$3))&gt;0)*'出货退货'!$K$2:$K$500)</f>
        <v/>
      </c>
      <c r="I12" s="11">
        <f>SUMPRODUCT(('出货退货'!$A$2:$A$500=$C$3)*--(('出货退货'!$B$2:$B$500=B12)&gt;0)*--((($I$3="全部")+('出货退货'!$C$2:$C$500=$I$3))&gt;0)*--((($L$3="全部")+('出货退货'!$D$2:$D$500=$L$3))&gt;0)*'出货退货'!$L$2:$L$500)</f>
        <v/>
      </c>
      <c r="J12" s="10">
        <f>IF(D12=0,"缺出货金额",IF(C12=0,"缺出货数量","可用"))</f>
        <v/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ht="22" customHeight="1">
      <c r="A13" s="3" t="n"/>
      <c r="B13" s="10" t="inlineStr">
        <is>
          <t>比优特</t>
        </is>
      </c>
      <c r="C13" s="11">
        <f>SUMPRODUCT(('出货退货'!$A$2:$A$500=$C$3)*--(('出货退货'!$B$2:$B$500=B13)&gt;0)*--((($I$3="全部")+('出货退货'!$C$2:$C$500=$I$3))&gt;0)*--((($L$3="全部")+('出货退货'!$D$2:$D$500=$L$3))&gt;0)*'出货退货'!$I$2:$I$500)</f>
        <v/>
      </c>
      <c r="D13" s="11">
        <f>SUMPRODUCT(('出货退货'!$A$2:$A$500=$C$3)*--(('出货退货'!$B$2:$B$500=B13)&gt;0)*--((($I$3="全部")+('出货退货'!$C$2:$C$500=$I$3))&gt;0)*--((($L$3="全部")+('出货退货'!$D$2:$D$500=$L$3))&gt;0)*'出货退货'!$J$2:$J$500)</f>
        <v/>
      </c>
      <c r="E13" s="11">
        <f>SUMPRODUCT(('销售明细'!$A$2:$A$500=$C$3)*--(('销售明细'!$B$2:$B$500=B13)&gt;0)*--((($I$3="全部")+('销售明细'!$C$2:$C$500=$I$3))&gt;0)*--((($L$3="全部")+('销售明细'!$D$2:$D$500=$L$3))&gt;0)*'销售明细'!$N$2:$N$500)</f>
        <v/>
      </c>
      <c r="F13" s="11">
        <f>SUMPRODUCT(('销售明细'!$A$2:$A$500=$C$3)*--(('销售明细'!$B$2:$B$500=B13)&gt;0)*--((($I$3="全部")+('销售明细'!$C$2:$C$500=$I$3))&gt;0)*--((($L$3="全部")+('销售明细'!$D$2:$D$500=$L$3))&gt;0)*'销售明细'!$O$2:$O$500)</f>
        <v/>
      </c>
      <c r="G13" s="12">
        <f>IFERROR(D13/F13,0)</f>
        <v/>
      </c>
      <c r="H13" s="11">
        <f>SUMPRODUCT(('出货退货'!$A$2:$A$500=$C$3)*--(('出货退货'!$B$2:$B$500=B13)&gt;0)*--((($I$3="全部")+('出货退货'!$C$2:$C$500=$I$3))&gt;0)*--((($L$3="全部")+('出货退货'!$D$2:$D$500=$L$3))&gt;0)*'出货退货'!$K$2:$K$500)</f>
        <v/>
      </c>
      <c r="I13" s="11">
        <f>SUMPRODUCT(('出货退货'!$A$2:$A$500=$C$3)*--(('出货退货'!$B$2:$B$500=B13)&gt;0)*--((($I$3="全部")+('出货退货'!$C$2:$C$500=$I$3))&gt;0)*--((($L$3="全部")+('出货退货'!$D$2:$D$500=$L$3))&gt;0)*'出货退货'!$L$2:$L$500)</f>
        <v/>
      </c>
      <c r="J13" s="10">
        <f>IF(D13=0,"缺出货金额",IF(C13=0,"缺出货数量","可用"))</f>
        <v/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 ht="22" customHeight="1">
      <c r="A14" s="3" t="n"/>
      <c r="B14" s="10" t="inlineStr">
        <is>
          <t>家得福</t>
        </is>
      </c>
      <c r="C14" s="11">
        <f>SUMPRODUCT(('出货退货'!$A$2:$A$500=$C$3)*--(('出货退货'!$B$2:$B$500=B14)&gt;0)*--((($I$3="全部")+('出货退货'!$C$2:$C$500=$I$3))&gt;0)*--((($L$3="全部")+('出货退货'!$D$2:$D$500=$L$3))&gt;0)*'出货退货'!$I$2:$I$500)</f>
        <v/>
      </c>
      <c r="D14" s="11">
        <f>SUMPRODUCT(('出货退货'!$A$2:$A$500=$C$3)*--(('出货退货'!$B$2:$B$500=B14)&gt;0)*--((($I$3="全部")+('出货退货'!$C$2:$C$500=$I$3))&gt;0)*--((($L$3="全部")+('出货退货'!$D$2:$D$500=$L$3))&gt;0)*'出货退货'!$J$2:$J$500)</f>
        <v/>
      </c>
      <c r="E14" s="11">
        <f>SUMPRODUCT(('销售明细'!$A$2:$A$500=$C$3)*--(('销售明细'!$B$2:$B$500=B14)&gt;0)*--((($I$3="全部")+('销售明细'!$C$2:$C$500=$I$3))&gt;0)*--((($L$3="全部")+('销售明细'!$D$2:$D$500=$L$3))&gt;0)*'销售明细'!$N$2:$N$500)</f>
        <v/>
      </c>
      <c r="F14" s="11">
        <f>SUMPRODUCT(('销售明细'!$A$2:$A$500=$C$3)*--(('销售明细'!$B$2:$B$500=B14)&gt;0)*--((($I$3="全部")+('销售明细'!$C$2:$C$500=$I$3))&gt;0)*--((($L$3="全部")+('销售明细'!$D$2:$D$500=$L$3))&gt;0)*'销售明细'!$O$2:$O$500)</f>
        <v/>
      </c>
      <c r="G14" s="12">
        <f>IFERROR(D14/F14,0)</f>
        <v/>
      </c>
      <c r="H14" s="11">
        <f>SUMPRODUCT(('出货退货'!$A$2:$A$500=$C$3)*--(('出货退货'!$B$2:$B$500=B14)&gt;0)*--((($I$3="全部")+('出货退货'!$C$2:$C$500=$I$3))&gt;0)*--((($L$3="全部")+('出货退货'!$D$2:$D$500=$L$3))&gt;0)*'出货退货'!$K$2:$K$500)</f>
        <v/>
      </c>
      <c r="I14" s="11">
        <f>SUMPRODUCT(('出货退货'!$A$2:$A$500=$C$3)*--(('出货退货'!$B$2:$B$500=B14)&gt;0)*--((($I$3="全部")+('出货退货'!$C$2:$C$500=$I$3))&gt;0)*--((($L$3="全部")+('出货退货'!$D$2:$D$500=$L$3))&gt;0)*'出货退货'!$L$2:$L$500)</f>
        <v/>
      </c>
      <c r="J14" s="10">
        <f>IF(D14=0,"缺出货金额",IF(C14=0,"缺出货数量","可用"))</f>
        <v/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ht="22" customHeight="1">
      <c r="A17" s="3" t="n"/>
      <c r="B17" s="7" t="inlineStr">
        <is>
          <t>汇总：by单品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 ht="22" customHeight="1">
      <c r="A18" s="3" t="n"/>
      <c r="B18" s="9" t="inlineStr">
        <is>
          <t>商品编码</t>
        </is>
      </c>
      <c r="C18" s="9" t="inlineStr">
        <is>
          <t>商品名称</t>
        </is>
      </c>
      <c r="D18" s="9" t="inlineStr">
        <is>
          <t>KA系统</t>
        </is>
      </c>
      <c r="E18" s="9" t="inlineStr">
        <is>
          <t>出货数量</t>
        </is>
      </c>
      <c r="F18" s="9" t="inlineStr">
        <is>
          <t>出货金额</t>
        </is>
      </c>
      <c r="G18" s="9" t="inlineStr">
        <is>
          <t>POS销售数量</t>
        </is>
      </c>
      <c r="H18" s="9" t="inlineStr">
        <is>
          <t>POS销售额</t>
        </is>
      </c>
      <c r="I18" s="9" t="inlineStr">
        <is>
          <t>出货/POS额</t>
        </is>
      </c>
      <c r="J18" s="9" t="inlineStr">
        <is>
          <t>备注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ht="22" customHeight="1">
      <c r="A19" s="3" t="n"/>
      <c r="B19" s="10" t="inlineStr">
        <is>
          <t>4354168</t>
        </is>
      </c>
      <c r="C19" s="10" t="inlineStr">
        <is>
          <t>脱骨侠无骨鸡爪(柠檬味)</t>
        </is>
      </c>
      <c r="D19" s="10" t="inlineStr">
        <is>
          <t>大润发</t>
        </is>
      </c>
      <c r="E19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19)&gt;0)*'出货退货'!$I$2:$I$500)</f>
        <v/>
      </c>
      <c r="F19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19)&gt;0)*'出货退货'!$J$2:$J$500)</f>
        <v/>
      </c>
      <c r="G19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19)&gt;0)*'销售明细'!$N$2:$N$500)</f>
        <v/>
      </c>
      <c r="H19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19)&gt;0)*'销售明细'!$O$2:$O$500)</f>
        <v/>
      </c>
      <c r="I19" s="12">
        <f>IFERROR(F19/H19,0)</f>
        <v/>
      </c>
      <c r="J19" s="10">
        <f>IF(F19=0,"缺出货源","")</f>
        <v/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</row>
    <row r="20" ht="22" customHeight="1">
      <c r="A20" s="3" t="n"/>
      <c r="B20" s="10" t="inlineStr">
        <is>
          <t>4502138</t>
        </is>
      </c>
      <c r="C20" s="10" t="inlineStr">
        <is>
          <t>脱骨侠虎皮凤爪(白松露味)</t>
        </is>
      </c>
      <c r="D20" s="10" t="inlineStr">
        <is>
          <t>大润发</t>
        </is>
      </c>
      <c r="E20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20)&gt;0)*'出货退货'!$I$2:$I$500)</f>
        <v/>
      </c>
      <c r="F20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20)&gt;0)*'出货退货'!$J$2:$J$500)</f>
        <v/>
      </c>
      <c r="G20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20)&gt;0)*'销售明细'!$N$2:$N$500)</f>
        <v/>
      </c>
      <c r="H20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20)&gt;0)*'销售明细'!$O$2:$O$500)</f>
        <v/>
      </c>
      <c r="I20" s="12">
        <f>IFERROR(F20/H20,0)</f>
        <v/>
      </c>
      <c r="J20" s="10">
        <f>IF(F20=0,"缺出货源","")</f>
        <v/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 ht="22" customHeight="1">
      <c r="A21" s="3" t="n"/>
      <c r="B21" s="10" t="inlineStr">
        <is>
          <t>25354863</t>
        </is>
      </c>
      <c r="C21" s="10" t="inlineStr">
        <is>
          <t>常温脱骨侠无骨鸡爪柠檬</t>
        </is>
      </c>
      <c r="D21" s="10" t="inlineStr">
        <is>
          <t>沃尔玛</t>
        </is>
      </c>
      <c r="E21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21)&gt;0)*'出货退货'!$I$2:$I$500)</f>
        <v/>
      </c>
      <c r="F21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21)&gt;0)*'出货退货'!$J$2:$J$500)</f>
        <v/>
      </c>
      <c r="G21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21)&gt;0)*'销售明细'!$N$2:$N$500)</f>
        <v/>
      </c>
      <c r="H21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21)&gt;0)*'销售明细'!$O$2:$O$500)</f>
        <v/>
      </c>
      <c r="I21" s="12">
        <f>IFERROR(F21/H21,0)</f>
        <v/>
      </c>
      <c r="J21" s="10">
        <f>IF(F21=0,"缺出货源","")</f>
        <v/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ht="22" customHeight="1">
      <c r="A22" s="3" t="n"/>
      <c r="B22" s="10" t="inlineStr">
        <is>
          <t>431448153</t>
        </is>
      </c>
      <c r="C22" s="10" t="inlineStr">
        <is>
          <t>盒马工坊 蒜香无骨鸡爪 230g</t>
        </is>
      </c>
      <c r="D22" s="10" t="inlineStr">
        <is>
          <t>盒马</t>
        </is>
      </c>
      <c r="E22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22)&gt;0)*'出货退货'!$I$2:$I$500)</f>
        <v/>
      </c>
      <c r="F22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22)&gt;0)*'出货退货'!$J$2:$J$500)</f>
        <v/>
      </c>
      <c r="G22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22)&gt;0)*'销售明细'!$N$2:$N$500)</f>
        <v/>
      </c>
      <c r="H22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22)&gt;0)*'销售明细'!$O$2:$O$500)</f>
        <v/>
      </c>
      <c r="I22" s="12">
        <f>IFERROR(F22/H22,0)</f>
        <v/>
      </c>
      <c r="J22" s="10">
        <f>IF(F22=0,"缺出货源","")</f>
        <v/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 ht="22" customHeight="1">
      <c r="A23" s="3" t="n"/>
      <c r="B23" s="10" t="inlineStr">
        <is>
          <t>v000110869</t>
        </is>
      </c>
      <c r="C23" s="10" t="inlineStr">
        <is>
          <t>脱骨侠双椒无骨鸭掌</t>
        </is>
      </c>
      <c r="D23" s="10" t="inlineStr">
        <is>
          <t>天虹</t>
        </is>
      </c>
      <c r="E23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23)&gt;0)*'出货退货'!$I$2:$I$500)</f>
        <v/>
      </c>
      <c r="F23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23)&gt;0)*'出货退货'!$J$2:$J$500)</f>
        <v/>
      </c>
      <c r="G23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23)&gt;0)*'销售明细'!$N$2:$N$500)</f>
        <v/>
      </c>
      <c r="H23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23)&gt;0)*'销售明细'!$O$2:$O$500)</f>
        <v/>
      </c>
      <c r="I23" s="12">
        <f>IFERROR(F23/H23,0)</f>
        <v/>
      </c>
      <c r="J23" s="10">
        <f>IF(F23=0,"缺出货源","")</f>
        <v/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ht="22" customHeight="1">
      <c r="A24" s="3" t="n"/>
      <c r="B24" s="10" t="inlineStr">
        <is>
          <t>10081319</t>
        </is>
      </c>
      <c r="C24" s="10" t="inlineStr">
        <is>
          <t>脱骨侠酸辣柠檬无骨鸡爪780g</t>
        </is>
      </c>
      <c r="D24" s="10" t="inlineStr">
        <is>
          <t>家得福</t>
        </is>
      </c>
      <c r="E24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24)&gt;0)*'出货退货'!$I$2:$I$500)</f>
        <v/>
      </c>
      <c r="F24" s="11">
        <f>SUMPRODUCT(('出货退货'!$A$2:$A$500=$C$3)*--((($F$3="全部")+('出货退货'!$B$2:$B$500=$F$3))&gt;0)*--((($I$3="全部")+('出货退货'!$C$2:$C$500=$I$3))&gt;0)*--((($L$3="全部")+('出货退货'!$D$2:$D$500=$L$3))&gt;0)*--(('出货退货'!$G$2:$G$500=B24)&gt;0)*'出货退货'!$J$2:$J$500)</f>
        <v/>
      </c>
      <c r="G24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24)&gt;0)*'销售明细'!$N$2:$N$500)</f>
        <v/>
      </c>
      <c r="H24" s="11">
        <f>SUMPRODUCT(('销售明细'!$A$2:$A$500=$C$3)*--((($F$3="全部")+('销售明细'!$B$2:$B$500=$F$3))&gt;0)*--((($I$3="全部")+('销售明细'!$C$2:$C$500=$I$3))&gt;0)*--((($L$3="全部")+('销售明细'!$D$2:$D$500=$L$3))&gt;0)*--(('销售明细'!$H$2:$H$500=B24)&gt;0)*'销售明细'!$O$2:$O$500)</f>
        <v/>
      </c>
      <c r="I24" s="12">
        <f>IFERROR(F24/H24,0)</f>
        <v/>
      </c>
      <c r="J24" s="10">
        <f>IF(F24=0,"缺出货源","")</f>
        <v/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ht="22" customHeight="1">
      <c r="A27" s="3" t="n"/>
      <c r="B27" s="7" t="inlineStr">
        <is>
          <t>汇总：by渠道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 ht="22" customHeight="1">
      <c r="A28" s="3" t="n"/>
      <c r="B28" s="9" t="inlineStr">
        <is>
          <t>渠道</t>
        </is>
      </c>
      <c r="C28" s="9" t="inlineStr">
        <is>
          <t>POS销售数量</t>
        </is>
      </c>
      <c r="D28" s="9" t="inlineStr">
        <is>
          <t>POS销售额</t>
        </is>
      </c>
      <c r="E28" s="9" t="inlineStr">
        <is>
          <t>出货数量</t>
        </is>
      </c>
      <c r="F28" s="9" t="inlineStr">
        <is>
          <t>出货金额</t>
        </is>
      </c>
      <c r="G28" s="9" t="inlineStr">
        <is>
          <t>出货/POS额</t>
        </is>
      </c>
      <c r="H28" s="9" t="inlineStr">
        <is>
          <t>说明</t>
        </is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 ht="22" customHeight="1">
      <c r="A29" s="3" t="n"/>
      <c r="B29" s="10" t="inlineStr">
        <is>
          <t>POS</t>
        </is>
      </c>
      <c r="C29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29)&gt;0)*'销售明细'!$N$2:$N$500)</f>
        <v/>
      </c>
      <c r="D29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29)&gt;0)*'销售明细'!$O$2:$O$500)</f>
        <v/>
      </c>
      <c r="E29" s="11">
        <f>SUMPRODUCT(('出货退货'!$A$2:$A$500=$C$3)*--((($F$3="全部")+('出货退货'!$B$2:$B$500=$F$3))&gt;0)*--((($I$3="全部")+('出货退货'!$C$2:$C$500=$I$3))&gt;0)*--((($L$3="全部")+('出货退货'!$D$2:$D$500=$L$3))&gt;0)*'出货退货'!$I$2:$I$500)</f>
        <v/>
      </c>
      <c r="F29" s="11">
        <f>SUMPRODUCT(('出货退货'!$A$2:$A$500=$C$3)*--((($F$3="全部")+('出货退货'!$B$2:$B$500=$F$3))&gt;0)*--((($I$3="全部")+('出货退货'!$C$2:$C$500=$I$3))&gt;0)*--((($L$3="全部")+('出货退货'!$D$2:$D$500=$L$3))&gt;0)*'出货退货'!$J$2:$J$500)</f>
        <v/>
      </c>
      <c r="G29" s="12">
        <f>IFERROR(F29/D29,0)</f>
        <v/>
      </c>
      <c r="H29" s="10" t="inlineStr">
        <is>
          <t>渠道出货需出货源提供渠道字段；当前出货按筛选总额展示</t>
        </is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ht="22" customHeight="1">
      <c r="A30" s="3" t="n"/>
      <c r="B30" s="10" t="inlineStr">
        <is>
          <t>线下</t>
        </is>
      </c>
      <c r="C30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30)&gt;0)*'销售明细'!$N$2:$N$500)</f>
        <v/>
      </c>
      <c r="D30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30)&gt;0)*'销售明细'!$O$2:$O$500)</f>
        <v/>
      </c>
      <c r="E30" s="11">
        <f>SUMPRODUCT(('出货退货'!$A$2:$A$500=$C$3)*--((($F$3="全部")+('出货退货'!$B$2:$B$500=$F$3))&gt;0)*--((($I$3="全部")+('出货退货'!$C$2:$C$500=$I$3))&gt;0)*--((($L$3="全部")+('出货退货'!$D$2:$D$500=$L$3))&gt;0)*'出货退货'!$I$2:$I$500)</f>
        <v/>
      </c>
      <c r="F30" s="11">
        <f>SUMPRODUCT(('出货退货'!$A$2:$A$500=$C$3)*--((($F$3="全部")+('出货退货'!$B$2:$B$500=$F$3))&gt;0)*--((($I$3="全部")+('出货退货'!$C$2:$C$500=$I$3))&gt;0)*--((($L$3="全部")+('出货退货'!$D$2:$D$500=$L$3))&gt;0)*'出货退货'!$J$2:$J$500)</f>
        <v/>
      </c>
      <c r="G30" s="12">
        <f>IFERROR(F30/D30,0)</f>
        <v/>
      </c>
      <c r="H30" s="10" t="inlineStr">
        <is>
          <t>渠道出货需出货源提供渠道字段；当前出货按筛选总额展示</t>
        </is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 ht="22" customHeight="1">
      <c r="A31" s="3" t="n"/>
      <c r="B31" s="10" t="inlineStr">
        <is>
          <t>京东到家</t>
        </is>
      </c>
      <c r="C31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31)&gt;0)*'销售明细'!$N$2:$N$500)</f>
        <v/>
      </c>
      <c r="D31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31)&gt;0)*'销售明细'!$O$2:$O$500)</f>
        <v/>
      </c>
      <c r="E31" s="11">
        <f>SUMPRODUCT(('出货退货'!$A$2:$A$500=$C$3)*--((($F$3="全部")+('出货退货'!$B$2:$B$500=$F$3))&gt;0)*--((($I$3="全部")+('出货退货'!$C$2:$C$500=$I$3))&gt;0)*--((($L$3="全部")+('出货退货'!$D$2:$D$500=$L$3))&gt;0)*'出货退货'!$I$2:$I$500)</f>
        <v/>
      </c>
      <c r="F31" s="11">
        <f>SUMPRODUCT(('出货退货'!$A$2:$A$500=$C$3)*--((($F$3="全部")+('出货退货'!$B$2:$B$500=$F$3))&gt;0)*--((($I$3="全部")+('出货退货'!$C$2:$C$500=$I$3))&gt;0)*--((($L$3="全部")+('出货退货'!$D$2:$D$500=$L$3))&gt;0)*'出货退货'!$J$2:$J$500)</f>
        <v/>
      </c>
      <c r="G31" s="12">
        <f>IFERROR(F31/D31,0)</f>
        <v/>
      </c>
      <c r="H31" s="10" t="inlineStr">
        <is>
          <t>渠道出货需出货源提供渠道字段；当前出货按筛选总额展示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ht="22" customHeight="1">
      <c r="A32" s="3" t="n"/>
      <c r="B32" s="10" t="inlineStr">
        <is>
          <t>美团</t>
        </is>
      </c>
      <c r="C32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32)&gt;0)*'销售明细'!$N$2:$N$500)</f>
        <v/>
      </c>
      <c r="D32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32)&gt;0)*'销售明细'!$O$2:$O$500)</f>
        <v/>
      </c>
      <c r="E32" s="11">
        <f>SUMPRODUCT(('出货退货'!$A$2:$A$500=$C$3)*--((($F$3="全部")+('出货退货'!$B$2:$B$500=$F$3))&gt;0)*--((($I$3="全部")+('出货退货'!$C$2:$C$500=$I$3))&gt;0)*--((($L$3="全部")+('出货退货'!$D$2:$D$500=$L$3))&gt;0)*'出货退货'!$I$2:$I$500)</f>
        <v/>
      </c>
      <c r="F32" s="11">
        <f>SUMPRODUCT(('出货退货'!$A$2:$A$500=$C$3)*--((($F$3="全部")+('出货退货'!$B$2:$B$500=$F$3))&gt;0)*--((($I$3="全部")+('出货退货'!$C$2:$C$500=$I$3))&gt;0)*--((($L$3="全部")+('出货退货'!$D$2:$D$500=$L$3))&gt;0)*'出货退货'!$J$2:$J$500)</f>
        <v/>
      </c>
      <c r="G32" s="12">
        <f>IFERROR(F32/D32,0)</f>
        <v/>
      </c>
      <c r="H32" s="10" t="inlineStr">
        <is>
          <t>渠道出货需出货源提供渠道字段；当前出货按筛选总额展示</t>
        </is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 ht="22" customHeight="1">
      <c r="A33" s="3" t="n"/>
      <c r="B33" s="10" t="inlineStr">
        <is>
          <t>天虹到家</t>
        </is>
      </c>
      <c r="C33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33)&gt;0)*'销售明细'!$N$2:$N$500)</f>
        <v/>
      </c>
      <c r="D33" s="11">
        <f>SUMPRODUCT(('销售明细'!$A$2:$A$500=$C$3)*--((($F$3="全部")+('销售明细'!$B$2:$B$500=$F$3))&gt;0)*--((($I$3="全部")+('销售明细'!$C$2:$C$500=$I$3))&gt;0)*--((($L$3="全部")+('销售明细'!$D$2:$D$500=$L$3))&gt;0)*--(('销售明细'!$M$2:$M$500=B33)&gt;0)*'销售明细'!$O$2:$O$500)</f>
        <v/>
      </c>
      <c r="E33" s="11">
        <f>SUMPRODUCT(('出货退货'!$A$2:$A$500=$C$3)*--((($F$3="全部")+('出货退货'!$B$2:$B$500=$F$3))&gt;0)*--((($I$3="全部")+('出货退货'!$C$2:$C$500=$I$3))&gt;0)*--((($L$3="全部")+('出货退货'!$D$2:$D$500=$L$3))&gt;0)*'出货退货'!$I$2:$I$500)</f>
        <v/>
      </c>
      <c r="F33" s="11">
        <f>SUMPRODUCT(('出货退货'!$A$2:$A$500=$C$3)*--((($F$3="全部")+('出货退货'!$B$2:$B$500=$F$3))&gt;0)*--((($I$3="全部")+('出货退货'!$C$2:$C$500=$I$3))&gt;0)*--((($L$3="全部")+('出货退货'!$D$2:$D$500=$L$3))&gt;0)*'出货退货'!$J$2:$J$500)</f>
        <v/>
      </c>
      <c r="G33" s="12">
        <f>IFERROR(F33/D33,0)</f>
        <v/>
      </c>
      <c r="H33" s="10" t="inlineStr">
        <is>
          <t>渠道出货需出货源提供渠道字段；当前出货按筛选总额展示</t>
        </is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</row>
    <row r="36" ht="22" customHeight="1">
      <c r="A36" s="3" t="n"/>
      <c r="B36" s="7" t="inlineStr">
        <is>
          <t>原始数据：出货退货明细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ht="22" customHeight="1">
      <c r="A37" s="3" t="n"/>
      <c r="B37" s="9" t="inlineStr">
        <is>
          <t>数据日期</t>
        </is>
      </c>
      <c r="C37" s="9" t="inlineStr">
        <is>
          <t>KA系统</t>
        </is>
      </c>
      <c r="D37" s="9" t="inlineStr">
        <is>
          <t>大区</t>
        </is>
      </c>
      <c r="E37" s="9" t="inlineStr">
        <is>
          <t>省份</t>
        </is>
      </c>
      <c r="F37" s="9" t="inlineStr">
        <is>
          <t>门店编码</t>
        </is>
      </c>
      <c r="G37" s="9" t="inlineStr">
        <is>
          <t>门店名称</t>
        </is>
      </c>
      <c r="H37" s="9" t="inlineStr">
        <is>
          <t>商品编码</t>
        </is>
      </c>
      <c r="I37" s="9" t="inlineStr">
        <is>
          <t>商品名称</t>
        </is>
      </c>
      <c r="J37" s="9" t="inlineStr">
        <is>
          <t>出货数量</t>
        </is>
      </c>
      <c r="K37" s="9" t="inlineStr">
        <is>
          <t>出货金额</t>
        </is>
      </c>
      <c r="L37" s="9" t="inlineStr">
        <is>
          <t>退货数量</t>
        </is>
      </c>
      <c r="M37" s="9" t="inlineStr">
        <is>
          <t>退货金额</t>
        </is>
      </c>
      <c r="N37" s="9" t="inlineStr">
        <is>
          <t>来源</t>
        </is>
      </c>
      <c r="O37" s="3" t="n"/>
      <c r="P37" s="3" t="n"/>
      <c r="Q37" s="3" t="n"/>
      <c r="R37" s="3" t="n"/>
      <c r="S37" s="3" t="n"/>
      <c r="T37" s="3" t="n"/>
      <c r="U37" s="3" t="n"/>
    </row>
    <row r="38" ht="22" customHeight="1">
      <c r="A38" s="3" t="n"/>
      <c r="B38" s="10">
        <f>'出货退货'!A2</f>
        <v/>
      </c>
      <c r="C38" s="10">
        <f>'出货退货'!B2</f>
        <v/>
      </c>
      <c r="D38" s="10">
        <f>'出货退货'!C2</f>
        <v/>
      </c>
      <c r="E38" s="10">
        <f>'出货退货'!D2</f>
        <v/>
      </c>
      <c r="F38" s="10">
        <f>'出货退货'!E2</f>
        <v/>
      </c>
      <c r="G38" s="10">
        <f>'出货退货'!F2</f>
        <v/>
      </c>
      <c r="H38" s="10">
        <f>'出货退货'!G2</f>
        <v/>
      </c>
      <c r="I38" s="10">
        <f>'出货退货'!H2</f>
        <v/>
      </c>
      <c r="J38" s="11">
        <f>'出货退货'!I2</f>
        <v/>
      </c>
      <c r="K38" s="11">
        <f>'出货退货'!J2</f>
        <v/>
      </c>
      <c r="L38" s="11">
        <f>'出货退货'!K2</f>
        <v/>
      </c>
      <c r="M38" s="11">
        <f>'出货退货'!L2</f>
        <v/>
      </c>
      <c r="N38" s="10">
        <f>'出货退货'!M2</f>
        <v/>
      </c>
      <c r="O38" s="3" t="n"/>
      <c r="P38" s="3" t="n"/>
      <c r="Q38" s="3" t="n"/>
      <c r="R38" s="3" t="n"/>
      <c r="S38" s="3" t="n"/>
      <c r="T38" s="3" t="n"/>
      <c r="U38" s="3" t="n"/>
    </row>
    <row r="39" ht="22" customHeight="1">
      <c r="A39" s="3" t="n"/>
      <c r="B39" s="10">
        <f>'出货退货'!A3</f>
        <v/>
      </c>
      <c r="C39" s="10">
        <f>'出货退货'!B3</f>
        <v/>
      </c>
      <c r="D39" s="10">
        <f>'出货退货'!C3</f>
        <v/>
      </c>
      <c r="E39" s="10">
        <f>'出货退货'!D3</f>
        <v/>
      </c>
      <c r="F39" s="10">
        <f>'出货退货'!E3</f>
        <v/>
      </c>
      <c r="G39" s="10">
        <f>'出货退货'!F3</f>
        <v/>
      </c>
      <c r="H39" s="10">
        <f>'出货退货'!G3</f>
        <v/>
      </c>
      <c r="I39" s="10">
        <f>'出货退货'!H3</f>
        <v/>
      </c>
      <c r="J39" s="11">
        <f>'出货退货'!I3</f>
        <v/>
      </c>
      <c r="K39" s="11">
        <f>'出货退货'!J3</f>
        <v/>
      </c>
      <c r="L39" s="11">
        <f>'出货退货'!K3</f>
        <v/>
      </c>
      <c r="M39" s="11">
        <f>'出货退货'!L3</f>
        <v/>
      </c>
      <c r="N39" s="10">
        <f>'出货退货'!M3</f>
        <v/>
      </c>
      <c r="O39" s="3" t="n"/>
      <c r="P39" s="3" t="n"/>
      <c r="Q39" s="3" t="n"/>
      <c r="R39" s="3" t="n"/>
      <c r="S39" s="3" t="n"/>
      <c r="T39" s="3" t="n"/>
      <c r="U39" s="3" t="n"/>
    </row>
    <row r="40" ht="22" customHeight="1">
      <c r="A40" s="3" t="n"/>
      <c r="B40" s="10">
        <f>'出货退货'!A4</f>
        <v/>
      </c>
      <c r="C40" s="10">
        <f>'出货退货'!B4</f>
        <v/>
      </c>
      <c r="D40" s="10">
        <f>'出货退货'!C4</f>
        <v/>
      </c>
      <c r="E40" s="10">
        <f>'出货退货'!D4</f>
        <v/>
      </c>
      <c r="F40" s="10">
        <f>'出货退货'!E4</f>
        <v/>
      </c>
      <c r="G40" s="10">
        <f>'出货退货'!F4</f>
        <v/>
      </c>
      <c r="H40" s="10">
        <f>'出货退货'!G4</f>
        <v/>
      </c>
      <c r="I40" s="10">
        <f>'出货退货'!H4</f>
        <v/>
      </c>
      <c r="J40" s="11">
        <f>'出货退货'!I4</f>
        <v/>
      </c>
      <c r="K40" s="11">
        <f>'出货退货'!J4</f>
        <v/>
      </c>
      <c r="L40" s="11">
        <f>'出货退货'!K4</f>
        <v/>
      </c>
      <c r="M40" s="11">
        <f>'出货退货'!L4</f>
        <v/>
      </c>
      <c r="N40" s="10">
        <f>'出货退货'!M4</f>
        <v/>
      </c>
      <c r="O40" s="3" t="n"/>
      <c r="P40" s="3" t="n"/>
      <c r="Q40" s="3" t="n"/>
      <c r="R40" s="3" t="n"/>
      <c r="S40" s="3" t="n"/>
      <c r="T40" s="3" t="n"/>
      <c r="U40" s="3" t="n"/>
    </row>
    <row r="41" ht="22" customHeight="1">
      <c r="A41" s="3" t="n"/>
      <c r="B41" s="10">
        <f>'出货退货'!A5</f>
        <v/>
      </c>
      <c r="C41" s="10">
        <f>'出货退货'!B5</f>
        <v/>
      </c>
      <c r="D41" s="10">
        <f>'出货退货'!C5</f>
        <v/>
      </c>
      <c r="E41" s="10">
        <f>'出货退货'!D5</f>
        <v/>
      </c>
      <c r="F41" s="10">
        <f>'出货退货'!E5</f>
        <v/>
      </c>
      <c r="G41" s="10">
        <f>'出货退货'!F5</f>
        <v/>
      </c>
      <c r="H41" s="10">
        <f>'出货退货'!G5</f>
        <v/>
      </c>
      <c r="I41" s="10">
        <f>'出货退货'!H5</f>
        <v/>
      </c>
      <c r="J41" s="11">
        <f>'出货退货'!I5</f>
        <v/>
      </c>
      <c r="K41" s="11">
        <f>'出货退货'!J5</f>
        <v/>
      </c>
      <c r="L41" s="11">
        <f>'出货退货'!K5</f>
        <v/>
      </c>
      <c r="M41" s="11">
        <f>'出货退货'!L5</f>
        <v/>
      </c>
      <c r="N41" s="10">
        <f>'出货退货'!M5</f>
        <v/>
      </c>
      <c r="O41" s="3" t="n"/>
      <c r="P41" s="3" t="n"/>
      <c r="Q41" s="3" t="n"/>
      <c r="R41" s="3" t="n"/>
      <c r="S41" s="3" t="n"/>
      <c r="T41" s="3" t="n"/>
      <c r="U41" s="3" t="n"/>
    </row>
    <row r="42" ht="22" customHeight="1">
      <c r="A42" s="3" t="n"/>
      <c r="B42" s="10">
        <f>'出货退货'!A6</f>
        <v/>
      </c>
      <c r="C42" s="10">
        <f>'出货退货'!B6</f>
        <v/>
      </c>
      <c r="D42" s="10">
        <f>'出货退货'!C6</f>
        <v/>
      </c>
      <c r="E42" s="10">
        <f>'出货退货'!D6</f>
        <v/>
      </c>
      <c r="F42" s="10">
        <f>'出货退货'!E6</f>
        <v/>
      </c>
      <c r="G42" s="10">
        <f>'出货退货'!F6</f>
        <v/>
      </c>
      <c r="H42" s="10">
        <f>'出货退货'!G6</f>
        <v/>
      </c>
      <c r="I42" s="10">
        <f>'出货退货'!H6</f>
        <v/>
      </c>
      <c r="J42" s="11">
        <f>'出货退货'!I6</f>
        <v/>
      </c>
      <c r="K42" s="11">
        <f>'出货退货'!J6</f>
        <v/>
      </c>
      <c r="L42" s="11">
        <f>'出货退货'!K6</f>
        <v/>
      </c>
      <c r="M42" s="11">
        <f>'出货退货'!L6</f>
        <v/>
      </c>
      <c r="N42" s="10">
        <f>'出货退货'!M6</f>
        <v/>
      </c>
      <c r="O42" s="3" t="n"/>
      <c r="P42" s="3" t="n"/>
      <c r="Q42" s="3" t="n"/>
      <c r="R42" s="3" t="n"/>
      <c r="S42" s="3" t="n"/>
      <c r="T42" s="3" t="n"/>
      <c r="U42" s="3" t="n"/>
    </row>
    <row r="43" ht="22" customHeight="1">
      <c r="A43" s="3" t="n"/>
      <c r="B43" s="10">
        <f>'出货退货'!A7</f>
        <v/>
      </c>
      <c r="C43" s="10">
        <f>'出货退货'!B7</f>
        <v/>
      </c>
      <c r="D43" s="10">
        <f>'出货退货'!C7</f>
        <v/>
      </c>
      <c r="E43" s="10">
        <f>'出货退货'!D7</f>
        <v/>
      </c>
      <c r="F43" s="10">
        <f>'出货退货'!E7</f>
        <v/>
      </c>
      <c r="G43" s="10">
        <f>'出货退货'!F7</f>
        <v/>
      </c>
      <c r="H43" s="10">
        <f>'出货退货'!G7</f>
        <v/>
      </c>
      <c r="I43" s="10">
        <f>'出货退货'!H7</f>
        <v/>
      </c>
      <c r="J43" s="11">
        <f>'出货退货'!I7</f>
        <v/>
      </c>
      <c r="K43" s="11">
        <f>'出货退货'!J7</f>
        <v/>
      </c>
      <c r="L43" s="11">
        <f>'出货退货'!K7</f>
        <v/>
      </c>
      <c r="M43" s="11">
        <f>'出货退货'!L7</f>
        <v/>
      </c>
      <c r="N43" s="10">
        <f>'出货退货'!M7</f>
        <v/>
      </c>
      <c r="O43" s="3" t="n"/>
      <c r="P43" s="3" t="n"/>
      <c r="Q43" s="3" t="n"/>
      <c r="R43" s="3" t="n"/>
      <c r="S43" s="3" t="n"/>
      <c r="T43" s="3" t="n"/>
      <c r="U43" s="3" t="n"/>
    </row>
    <row r="44" ht="22" customHeight="1">
      <c r="A44" s="3" t="n"/>
      <c r="B44" s="10">
        <f>'出货退货'!A8</f>
        <v/>
      </c>
      <c r="C44" s="10">
        <f>'出货退货'!B8</f>
        <v/>
      </c>
      <c r="D44" s="10">
        <f>'出货退货'!C8</f>
        <v/>
      </c>
      <c r="E44" s="10">
        <f>'出货退货'!D8</f>
        <v/>
      </c>
      <c r="F44" s="10">
        <f>'出货退货'!E8</f>
        <v/>
      </c>
      <c r="G44" s="10">
        <f>'出货退货'!F8</f>
        <v/>
      </c>
      <c r="H44" s="10">
        <f>'出货退货'!G8</f>
        <v/>
      </c>
      <c r="I44" s="10">
        <f>'出货退货'!H8</f>
        <v/>
      </c>
      <c r="J44" s="11">
        <f>'出货退货'!I8</f>
        <v/>
      </c>
      <c r="K44" s="11">
        <f>'出货退货'!J8</f>
        <v/>
      </c>
      <c r="L44" s="11">
        <f>'出货退货'!K8</f>
        <v/>
      </c>
      <c r="M44" s="11">
        <f>'出货退货'!L8</f>
        <v/>
      </c>
      <c r="N44" s="10">
        <f>'出货退货'!M8</f>
        <v/>
      </c>
      <c r="O44" s="3" t="n"/>
      <c r="P44" s="3" t="n"/>
      <c r="Q44" s="3" t="n"/>
      <c r="R44" s="3" t="n"/>
      <c r="S44" s="3" t="n"/>
      <c r="T44" s="3" t="n"/>
      <c r="U44" s="3" t="n"/>
    </row>
    <row r="45" ht="22" customHeight="1">
      <c r="A45" s="3" t="n"/>
      <c r="B45" s="10">
        <f>'出货退货'!A9</f>
        <v/>
      </c>
      <c r="C45" s="10">
        <f>'出货退货'!B9</f>
        <v/>
      </c>
      <c r="D45" s="10">
        <f>'出货退货'!C9</f>
        <v/>
      </c>
      <c r="E45" s="10">
        <f>'出货退货'!D9</f>
        <v/>
      </c>
      <c r="F45" s="10">
        <f>'出货退货'!E9</f>
        <v/>
      </c>
      <c r="G45" s="10">
        <f>'出货退货'!F9</f>
        <v/>
      </c>
      <c r="H45" s="10">
        <f>'出货退货'!G9</f>
        <v/>
      </c>
      <c r="I45" s="10">
        <f>'出货退货'!H9</f>
        <v/>
      </c>
      <c r="J45" s="11">
        <f>'出货退货'!I9</f>
        <v/>
      </c>
      <c r="K45" s="11">
        <f>'出货退货'!J9</f>
        <v/>
      </c>
      <c r="L45" s="11">
        <f>'出货退货'!K9</f>
        <v/>
      </c>
      <c r="M45" s="11">
        <f>'出货退货'!L9</f>
        <v/>
      </c>
      <c r="N45" s="10">
        <f>'出货退货'!M9</f>
        <v/>
      </c>
      <c r="O45" s="3" t="n"/>
      <c r="P45" s="3" t="n"/>
      <c r="Q45" s="3" t="n"/>
      <c r="R45" s="3" t="n"/>
      <c r="S45" s="3" t="n"/>
      <c r="T45" s="3" t="n"/>
      <c r="U45" s="3" t="n"/>
    </row>
    <row r="46" ht="22" customHeight="1">
      <c r="A46" s="3" t="n"/>
      <c r="B46" s="10">
        <f>'出货退货'!A10</f>
        <v/>
      </c>
      <c r="C46" s="10">
        <f>'出货退货'!B10</f>
        <v/>
      </c>
      <c r="D46" s="10">
        <f>'出货退货'!C10</f>
        <v/>
      </c>
      <c r="E46" s="10">
        <f>'出货退货'!D10</f>
        <v/>
      </c>
      <c r="F46" s="10">
        <f>'出货退货'!E10</f>
        <v/>
      </c>
      <c r="G46" s="10">
        <f>'出货退货'!F10</f>
        <v/>
      </c>
      <c r="H46" s="10">
        <f>'出货退货'!G10</f>
        <v/>
      </c>
      <c r="I46" s="10">
        <f>'出货退货'!H10</f>
        <v/>
      </c>
      <c r="J46" s="11">
        <f>'出货退货'!I10</f>
        <v/>
      </c>
      <c r="K46" s="11">
        <f>'出货退货'!J10</f>
        <v/>
      </c>
      <c r="L46" s="11">
        <f>'出货退货'!K10</f>
        <v/>
      </c>
      <c r="M46" s="11">
        <f>'出货退货'!L10</f>
        <v/>
      </c>
      <c r="N46" s="10">
        <f>'出货退货'!M10</f>
        <v/>
      </c>
      <c r="O46" s="3" t="n"/>
      <c r="P46" s="3" t="n"/>
      <c r="Q46" s="3" t="n"/>
      <c r="R46" s="3" t="n"/>
      <c r="S46" s="3" t="n"/>
      <c r="T46" s="3" t="n"/>
      <c r="U46" s="3" t="n"/>
    </row>
    <row r="47" ht="22" customHeight="1">
      <c r="A47" s="3" t="n"/>
      <c r="B47" s="10">
        <f>'出货退货'!A11</f>
        <v/>
      </c>
      <c r="C47" s="10">
        <f>'出货退货'!B11</f>
        <v/>
      </c>
      <c r="D47" s="10">
        <f>'出货退货'!C11</f>
        <v/>
      </c>
      <c r="E47" s="10">
        <f>'出货退货'!D11</f>
        <v/>
      </c>
      <c r="F47" s="10">
        <f>'出货退货'!E11</f>
        <v/>
      </c>
      <c r="G47" s="10">
        <f>'出货退货'!F11</f>
        <v/>
      </c>
      <c r="H47" s="10">
        <f>'出货退货'!G11</f>
        <v/>
      </c>
      <c r="I47" s="10">
        <f>'出货退货'!H11</f>
        <v/>
      </c>
      <c r="J47" s="11">
        <f>'出货退货'!I11</f>
        <v/>
      </c>
      <c r="K47" s="11">
        <f>'出货退货'!J11</f>
        <v/>
      </c>
      <c r="L47" s="11">
        <f>'出货退货'!K11</f>
        <v/>
      </c>
      <c r="M47" s="11">
        <f>'出货退货'!L11</f>
        <v/>
      </c>
      <c r="N47" s="10">
        <f>'出货退货'!M11</f>
        <v/>
      </c>
      <c r="O47" s="3" t="n"/>
      <c r="P47" s="3" t="n"/>
      <c r="Q47" s="3" t="n"/>
      <c r="R47" s="3" t="n"/>
      <c r="S47" s="3" t="n"/>
      <c r="T47" s="3" t="n"/>
      <c r="U47" s="3" t="n"/>
    </row>
    <row r="48" ht="22" customHeight="1">
      <c r="A48" s="3" t="n"/>
      <c r="B48" s="10">
        <f>'出货退货'!A12</f>
        <v/>
      </c>
      <c r="C48" s="10">
        <f>'出货退货'!B12</f>
        <v/>
      </c>
      <c r="D48" s="10">
        <f>'出货退货'!C12</f>
        <v/>
      </c>
      <c r="E48" s="10">
        <f>'出货退货'!D12</f>
        <v/>
      </c>
      <c r="F48" s="10">
        <f>'出货退货'!E12</f>
        <v/>
      </c>
      <c r="G48" s="10">
        <f>'出货退货'!F12</f>
        <v/>
      </c>
      <c r="H48" s="10">
        <f>'出货退货'!G12</f>
        <v/>
      </c>
      <c r="I48" s="10">
        <f>'出货退货'!H12</f>
        <v/>
      </c>
      <c r="J48" s="11">
        <f>'出货退货'!I12</f>
        <v/>
      </c>
      <c r="K48" s="11">
        <f>'出货退货'!J12</f>
        <v/>
      </c>
      <c r="L48" s="11">
        <f>'出货退货'!K12</f>
        <v/>
      </c>
      <c r="M48" s="11">
        <f>'出货退货'!L12</f>
        <v/>
      </c>
      <c r="N48" s="10">
        <f>'出货退货'!M12</f>
        <v/>
      </c>
      <c r="O48" s="3" t="n"/>
      <c r="P48" s="3" t="n"/>
      <c r="Q48" s="3" t="n"/>
      <c r="R48" s="3" t="n"/>
      <c r="S48" s="3" t="n"/>
      <c r="T48" s="3" t="n"/>
      <c r="U48" s="3" t="n"/>
    </row>
    <row r="49" ht="22" customHeight="1">
      <c r="A49" s="3" t="n"/>
      <c r="B49" s="10">
        <f>'出货退货'!A13</f>
        <v/>
      </c>
      <c r="C49" s="10">
        <f>'出货退货'!B13</f>
        <v/>
      </c>
      <c r="D49" s="10">
        <f>'出货退货'!C13</f>
        <v/>
      </c>
      <c r="E49" s="10">
        <f>'出货退货'!D13</f>
        <v/>
      </c>
      <c r="F49" s="10">
        <f>'出货退货'!E13</f>
        <v/>
      </c>
      <c r="G49" s="10">
        <f>'出货退货'!F13</f>
        <v/>
      </c>
      <c r="H49" s="10">
        <f>'出货退货'!G13</f>
        <v/>
      </c>
      <c r="I49" s="10">
        <f>'出货退货'!H13</f>
        <v/>
      </c>
      <c r="J49" s="11">
        <f>'出货退货'!I13</f>
        <v/>
      </c>
      <c r="K49" s="11">
        <f>'出货退货'!J13</f>
        <v/>
      </c>
      <c r="L49" s="11">
        <f>'出货退货'!K13</f>
        <v/>
      </c>
      <c r="M49" s="11">
        <f>'出货退货'!L13</f>
        <v/>
      </c>
      <c r="N49" s="10">
        <f>'出货退货'!M13</f>
        <v/>
      </c>
      <c r="O49" s="3" t="n"/>
      <c r="P49" s="3" t="n"/>
      <c r="Q49" s="3" t="n"/>
      <c r="R49" s="3" t="n"/>
      <c r="S49" s="3" t="n"/>
      <c r="T49" s="3" t="n"/>
      <c r="U49" s="3" t="n"/>
    </row>
    <row r="50" ht="22" customHeight="1">
      <c r="A50" s="3" t="n"/>
      <c r="B50" s="10">
        <f>'出货退货'!A14</f>
        <v/>
      </c>
      <c r="C50" s="10">
        <f>'出货退货'!B14</f>
        <v/>
      </c>
      <c r="D50" s="10">
        <f>'出货退货'!C14</f>
        <v/>
      </c>
      <c r="E50" s="10">
        <f>'出货退货'!D14</f>
        <v/>
      </c>
      <c r="F50" s="10">
        <f>'出货退货'!E14</f>
        <v/>
      </c>
      <c r="G50" s="10">
        <f>'出货退货'!F14</f>
        <v/>
      </c>
      <c r="H50" s="10">
        <f>'出货退货'!G14</f>
        <v/>
      </c>
      <c r="I50" s="10">
        <f>'出货退货'!H14</f>
        <v/>
      </c>
      <c r="J50" s="11">
        <f>'出货退货'!I14</f>
        <v/>
      </c>
      <c r="K50" s="11">
        <f>'出货退货'!J14</f>
        <v/>
      </c>
      <c r="L50" s="11">
        <f>'出货退货'!K14</f>
        <v/>
      </c>
      <c r="M50" s="11">
        <f>'出货退货'!L14</f>
        <v/>
      </c>
      <c r="N50" s="10">
        <f>'出货退货'!M14</f>
        <v/>
      </c>
      <c r="O50" s="3" t="n"/>
      <c r="P50" s="3" t="n"/>
      <c r="Q50" s="3" t="n"/>
      <c r="R50" s="3" t="n"/>
      <c r="S50" s="3" t="n"/>
      <c r="T50" s="3" t="n"/>
      <c r="U50" s="3" t="n"/>
    </row>
    <row r="51" ht="22" customHeight="1">
      <c r="A51" s="3" t="n"/>
      <c r="B51" s="10">
        <f>'出货退货'!A15</f>
        <v/>
      </c>
      <c r="C51" s="10">
        <f>'出货退货'!B15</f>
        <v/>
      </c>
      <c r="D51" s="10">
        <f>'出货退货'!C15</f>
        <v/>
      </c>
      <c r="E51" s="10">
        <f>'出货退货'!D15</f>
        <v/>
      </c>
      <c r="F51" s="10">
        <f>'出货退货'!E15</f>
        <v/>
      </c>
      <c r="G51" s="10">
        <f>'出货退货'!F15</f>
        <v/>
      </c>
      <c r="H51" s="10">
        <f>'出货退货'!G15</f>
        <v/>
      </c>
      <c r="I51" s="10">
        <f>'出货退货'!H15</f>
        <v/>
      </c>
      <c r="J51" s="11">
        <f>'出货退货'!I15</f>
        <v/>
      </c>
      <c r="K51" s="11">
        <f>'出货退货'!J15</f>
        <v/>
      </c>
      <c r="L51" s="11">
        <f>'出货退货'!K15</f>
        <v/>
      </c>
      <c r="M51" s="11">
        <f>'出货退货'!L15</f>
        <v/>
      </c>
      <c r="N51" s="10">
        <f>'出货退货'!M15</f>
        <v/>
      </c>
      <c r="O51" s="3" t="n"/>
      <c r="P51" s="3" t="n"/>
      <c r="Q51" s="3" t="n"/>
      <c r="R51" s="3" t="n"/>
      <c r="S51" s="3" t="n"/>
      <c r="T51" s="3" t="n"/>
      <c r="U51" s="3" t="n"/>
    </row>
    <row r="52" ht="22" customHeight="1">
      <c r="A52" s="3" t="n"/>
      <c r="B52" s="10">
        <f>'出货退货'!A16</f>
        <v/>
      </c>
      <c r="C52" s="10">
        <f>'出货退货'!B16</f>
        <v/>
      </c>
      <c r="D52" s="10">
        <f>'出货退货'!C16</f>
        <v/>
      </c>
      <c r="E52" s="10">
        <f>'出货退货'!D16</f>
        <v/>
      </c>
      <c r="F52" s="10">
        <f>'出货退货'!E16</f>
        <v/>
      </c>
      <c r="G52" s="10">
        <f>'出货退货'!F16</f>
        <v/>
      </c>
      <c r="H52" s="10">
        <f>'出货退货'!G16</f>
        <v/>
      </c>
      <c r="I52" s="10">
        <f>'出货退货'!H16</f>
        <v/>
      </c>
      <c r="J52" s="11">
        <f>'出货退货'!I16</f>
        <v/>
      </c>
      <c r="K52" s="11">
        <f>'出货退货'!J16</f>
        <v/>
      </c>
      <c r="L52" s="11">
        <f>'出货退货'!K16</f>
        <v/>
      </c>
      <c r="M52" s="11">
        <f>'出货退货'!L16</f>
        <v/>
      </c>
      <c r="N52" s="10">
        <f>'出货退货'!M16</f>
        <v/>
      </c>
      <c r="O52" s="3" t="n"/>
      <c r="P52" s="3" t="n"/>
      <c r="Q52" s="3" t="n"/>
      <c r="R52" s="3" t="n"/>
      <c r="S52" s="3" t="n"/>
      <c r="T52" s="3" t="n"/>
      <c r="U52" s="3" t="n"/>
    </row>
    <row r="53" ht="22" customHeight="1">
      <c r="A53" s="3" t="n"/>
      <c r="B53" s="10">
        <f>'出货退货'!A17</f>
        <v/>
      </c>
      <c r="C53" s="10">
        <f>'出货退货'!B17</f>
        <v/>
      </c>
      <c r="D53" s="10">
        <f>'出货退货'!C17</f>
        <v/>
      </c>
      <c r="E53" s="10">
        <f>'出货退货'!D17</f>
        <v/>
      </c>
      <c r="F53" s="10">
        <f>'出货退货'!E17</f>
        <v/>
      </c>
      <c r="G53" s="10">
        <f>'出货退货'!F17</f>
        <v/>
      </c>
      <c r="H53" s="10">
        <f>'出货退货'!G17</f>
        <v/>
      </c>
      <c r="I53" s="10">
        <f>'出货退货'!H17</f>
        <v/>
      </c>
      <c r="J53" s="11">
        <f>'出货退货'!I17</f>
        <v/>
      </c>
      <c r="K53" s="11">
        <f>'出货退货'!J17</f>
        <v/>
      </c>
      <c r="L53" s="11">
        <f>'出货退货'!K17</f>
        <v/>
      </c>
      <c r="M53" s="11">
        <f>'出货退货'!L17</f>
        <v/>
      </c>
      <c r="N53" s="10">
        <f>'出货退货'!M17</f>
        <v/>
      </c>
      <c r="O53" s="3" t="n"/>
      <c r="P53" s="3" t="n"/>
      <c r="Q53" s="3" t="n"/>
      <c r="R53" s="3" t="n"/>
      <c r="S53" s="3" t="n"/>
      <c r="T53" s="3" t="n"/>
      <c r="U53" s="3" t="n"/>
    </row>
    <row r="54" ht="22" customHeight="1">
      <c r="A54" s="3" t="n"/>
      <c r="B54" s="10">
        <f>'出货退货'!A18</f>
        <v/>
      </c>
      <c r="C54" s="10">
        <f>'出货退货'!B18</f>
        <v/>
      </c>
      <c r="D54" s="10">
        <f>'出货退货'!C18</f>
        <v/>
      </c>
      <c r="E54" s="10">
        <f>'出货退货'!D18</f>
        <v/>
      </c>
      <c r="F54" s="10">
        <f>'出货退货'!E18</f>
        <v/>
      </c>
      <c r="G54" s="10">
        <f>'出货退货'!F18</f>
        <v/>
      </c>
      <c r="H54" s="10">
        <f>'出货退货'!G18</f>
        <v/>
      </c>
      <c r="I54" s="10">
        <f>'出货退货'!H18</f>
        <v/>
      </c>
      <c r="J54" s="11">
        <f>'出货退货'!I18</f>
        <v/>
      </c>
      <c r="K54" s="11">
        <f>'出货退货'!J18</f>
        <v/>
      </c>
      <c r="L54" s="11">
        <f>'出货退货'!K18</f>
        <v/>
      </c>
      <c r="M54" s="11">
        <f>'出货退货'!L18</f>
        <v/>
      </c>
      <c r="N54" s="10">
        <f>'出货退货'!M18</f>
        <v/>
      </c>
      <c r="O54" s="3" t="n"/>
      <c r="P54" s="3" t="n"/>
      <c r="Q54" s="3" t="n"/>
      <c r="R54" s="3" t="n"/>
      <c r="S54" s="3" t="n"/>
      <c r="T54" s="3" t="n"/>
      <c r="U54" s="3" t="n"/>
    </row>
    <row r="55" ht="22" customHeight="1">
      <c r="A55" s="3" t="n"/>
      <c r="B55" s="10">
        <f>'出货退货'!A19</f>
        <v/>
      </c>
      <c r="C55" s="10">
        <f>'出货退货'!B19</f>
        <v/>
      </c>
      <c r="D55" s="10">
        <f>'出货退货'!C19</f>
        <v/>
      </c>
      <c r="E55" s="10">
        <f>'出货退货'!D19</f>
        <v/>
      </c>
      <c r="F55" s="10">
        <f>'出货退货'!E19</f>
        <v/>
      </c>
      <c r="G55" s="10">
        <f>'出货退货'!F19</f>
        <v/>
      </c>
      <c r="H55" s="10">
        <f>'出货退货'!G19</f>
        <v/>
      </c>
      <c r="I55" s="10">
        <f>'出货退货'!H19</f>
        <v/>
      </c>
      <c r="J55" s="11">
        <f>'出货退货'!I19</f>
        <v/>
      </c>
      <c r="K55" s="11">
        <f>'出货退货'!J19</f>
        <v/>
      </c>
      <c r="L55" s="11">
        <f>'出货退货'!K19</f>
        <v/>
      </c>
      <c r="M55" s="11">
        <f>'出货退货'!L19</f>
        <v/>
      </c>
      <c r="N55" s="10">
        <f>'出货退货'!M19</f>
        <v/>
      </c>
      <c r="O55" s="3" t="n"/>
      <c r="P55" s="3" t="n"/>
      <c r="Q55" s="3" t="n"/>
      <c r="R55" s="3" t="n"/>
      <c r="S55" s="3" t="n"/>
      <c r="T55" s="3" t="n"/>
      <c r="U55" s="3" t="n"/>
    </row>
    <row r="56" ht="22" customHeight="1">
      <c r="A56" s="3" t="n"/>
      <c r="B56" s="10">
        <f>'出货退货'!A20</f>
        <v/>
      </c>
      <c r="C56" s="10">
        <f>'出货退货'!B20</f>
        <v/>
      </c>
      <c r="D56" s="10">
        <f>'出货退货'!C20</f>
        <v/>
      </c>
      <c r="E56" s="10">
        <f>'出货退货'!D20</f>
        <v/>
      </c>
      <c r="F56" s="10">
        <f>'出货退货'!E20</f>
        <v/>
      </c>
      <c r="G56" s="10">
        <f>'出货退货'!F20</f>
        <v/>
      </c>
      <c r="H56" s="10">
        <f>'出货退货'!G20</f>
        <v/>
      </c>
      <c r="I56" s="10">
        <f>'出货退货'!H20</f>
        <v/>
      </c>
      <c r="J56" s="11">
        <f>'出货退货'!I20</f>
        <v/>
      </c>
      <c r="K56" s="11">
        <f>'出货退货'!J20</f>
        <v/>
      </c>
      <c r="L56" s="11">
        <f>'出货退货'!K20</f>
        <v/>
      </c>
      <c r="M56" s="11">
        <f>'出货退货'!L20</f>
        <v/>
      </c>
      <c r="N56" s="10">
        <f>'出货退货'!M20</f>
        <v/>
      </c>
      <c r="O56" s="3" t="n"/>
      <c r="P56" s="3" t="n"/>
      <c r="Q56" s="3" t="n"/>
      <c r="R56" s="3" t="n"/>
      <c r="S56" s="3" t="n"/>
      <c r="T56" s="3" t="n"/>
      <c r="U56" s="3" t="n"/>
    </row>
    <row r="57" ht="22" customHeight="1">
      <c r="A57" s="3" t="n"/>
      <c r="B57" s="3">
        <f>'出货退货'!A21</f>
        <v/>
      </c>
      <c r="C57" s="3">
        <f>'出货退货'!B21</f>
        <v/>
      </c>
      <c r="D57" s="3">
        <f>'出货退货'!C21</f>
        <v/>
      </c>
      <c r="E57" s="3">
        <f>'出货退货'!D21</f>
        <v/>
      </c>
      <c r="F57" s="3">
        <f>'出货退货'!E21</f>
        <v/>
      </c>
      <c r="G57" s="3">
        <f>'出货退货'!F21</f>
        <v/>
      </c>
      <c r="H57" s="3">
        <f>'出货退货'!G21</f>
        <v/>
      </c>
      <c r="I57" s="3">
        <f>'出货退货'!H21</f>
        <v/>
      </c>
      <c r="J57" s="3">
        <f>'出货退货'!I21</f>
        <v/>
      </c>
      <c r="K57" s="3">
        <f>'出货退货'!J21</f>
        <v/>
      </c>
      <c r="L57" s="3">
        <f>'出货退货'!K21</f>
        <v/>
      </c>
      <c r="M57" s="3">
        <f>'出货退货'!L21</f>
        <v/>
      </c>
      <c r="N57" s="3">
        <f>'出货退货'!M21</f>
        <v/>
      </c>
      <c r="O57" s="3" t="n"/>
      <c r="P57" s="3" t="n"/>
      <c r="Q57" s="3" t="n"/>
      <c r="R57" s="3" t="n"/>
      <c r="S57" s="3" t="n"/>
      <c r="T57" s="3" t="n"/>
      <c r="U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</sheetData>
  <mergeCells count="6">
    <mergeCell ref="B5:J5"/>
    <mergeCell ref="A2:U2"/>
    <mergeCell ref="B36:J36"/>
    <mergeCell ref="B17:J17"/>
    <mergeCell ref="B27:J27"/>
    <mergeCell ref="A1:U1"/>
  </mergeCells>
  <dataValidations count="3">
    <dataValidation sqref="F3" showDropDown="0" showInputMessage="0" showErrorMessage="0" allowBlank="0" type="list">
      <formula1>"全部,大润发,盒马,华润,沃尔玛,永辉,天虹,比优特,家得福"</formula1>
    </dataValidation>
    <dataValidation sqref="I3" showDropDown="0" showInputMessage="0" showErrorMessage="0" allowBlank="0" type="list">
      <formula1>"全部,华东,华南,华北,华中,西北,东北"</formula1>
    </dataValidation>
    <dataValidation sqref="L3" showDropDown="0" showInputMessage="0" showErrorMessage="0" allowBlank="0" type="list">
      <formula1>"全部,上海,江苏,广东,北京,湖北,浙江,黑龙江,天津"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2" customHeight="1">
      <c r="A1" s="1" t="inlineStr">
        <is>
          <t>系统单品出货额和POS额对比</t>
        </is>
      </c>
    </row>
    <row r="2" ht="22" customHeight="1">
      <c r="A2" s="2" t="inlineStr">
        <is>
          <t>关键词：系统、单品、出货额、POS额、差异、比例。</t>
        </is>
      </c>
    </row>
    <row r="3" ht="22" customHeight="1">
      <c r="A3" s="3" t="n"/>
      <c r="B3" s="4" t="inlineStr">
        <is>
          <t>统计日期</t>
        </is>
      </c>
      <c r="C3" s="5">
        <f>MAX('销售明细'!A2:A500)</f>
        <v/>
      </c>
      <c r="D3" s="3" t="n"/>
      <c r="E3" s="4" t="inlineStr">
        <is>
          <t>KA系统</t>
        </is>
      </c>
      <c r="F3" s="6" t="inlineStr">
        <is>
          <t>全部</t>
        </is>
      </c>
      <c r="G3" s="3" t="n"/>
      <c r="H3" s="4" t="inlineStr">
        <is>
          <t>大区</t>
        </is>
      </c>
      <c r="I3" s="6" t="inlineStr">
        <is>
          <t>全部</t>
        </is>
      </c>
      <c r="J3" s="3" t="n"/>
      <c r="K3" s="4" t="inlineStr">
        <is>
          <t>省份</t>
        </is>
      </c>
      <c r="L3" s="6" t="inlineStr">
        <is>
          <t>全部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22" customHeight="1">
      <c r="A5" s="3" t="n"/>
      <c r="B5" s="7" t="inlineStr">
        <is>
          <t>汇总：系统单品出货额和POS额对比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 ht="22" customHeight="1">
      <c r="A6" s="3" t="n"/>
      <c r="B6" s="9" t="inlineStr">
        <is>
          <t>KA系统</t>
        </is>
      </c>
      <c r="C6" s="9" t="inlineStr">
        <is>
          <t>商品编码</t>
        </is>
      </c>
      <c r="D6" s="9" t="inlineStr">
        <is>
          <t>商品名称</t>
        </is>
      </c>
      <c r="E6" s="9" t="inlineStr">
        <is>
          <t>出货额</t>
        </is>
      </c>
      <c r="F6" s="9" t="inlineStr">
        <is>
          <t>POS额</t>
        </is>
      </c>
      <c r="G6" s="9" t="inlineStr">
        <is>
          <t>差异</t>
        </is>
      </c>
      <c r="H6" s="9" t="inlineStr">
        <is>
          <t>出货/POS额</t>
        </is>
      </c>
      <c r="I6" s="9" t="inlineStr">
        <is>
          <t>出货数量</t>
        </is>
      </c>
      <c r="J6" s="9" t="inlineStr">
        <is>
          <t>POS销量</t>
        </is>
      </c>
      <c r="K6" s="9" t="inlineStr">
        <is>
          <t>状态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ht="22" customHeight="1">
      <c r="A7" s="3" t="n"/>
      <c r="B7" s="10" t="inlineStr">
        <is>
          <t>大润发</t>
        </is>
      </c>
      <c r="C7" s="10" t="inlineStr">
        <is>
          <t>4354168</t>
        </is>
      </c>
      <c r="D7" s="10" t="inlineStr">
        <is>
          <t>脱骨侠无骨鸡爪(柠檬味)</t>
        </is>
      </c>
      <c r="E7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7)&gt;0)*--(('出货退货'!$G$2:$G$500=C7)&gt;0)*'出货退货'!$J$2:$J$500)</f>
        <v/>
      </c>
      <c r="F7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7)&gt;0)*--(('销售明细'!$H$2:$H$500=C7)&gt;0)*'销售明细'!$O$2:$O$500)</f>
        <v/>
      </c>
      <c r="G7" s="11">
        <f>E7-F7</f>
        <v/>
      </c>
      <c r="H7" s="12">
        <f>IFERROR(E7/F7,0)</f>
        <v/>
      </c>
      <c r="I7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7)&gt;0)*--(('出货退货'!$G$2:$G$500=C7)&gt;0)*'出货退货'!$I$2:$I$500)</f>
        <v/>
      </c>
      <c r="J7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7)&gt;0)*--(('销售明细'!$H$2:$H$500=C7)&gt;0)*'销售明细'!$N$2:$N$500)</f>
        <v/>
      </c>
      <c r="K7" s="10">
        <f>IF(E7=0,"缺出货源",IF(H7&lt;0.8,"出货低于POS",IF(H7&gt;1.2,"出货高于POS","匹配")))</f>
        <v/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 ht="22" customHeight="1">
      <c r="A8" s="3" t="n"/>
      <c r="B8" s="10" t="inlineStr">
        <is>
          <t>大润发</t>
        </is>
      </c>
      <c r="C8" s="10" t="inlineStr">
        <is>
          <t>4502138</t>
        </is>
      </c>
      <c r="D8" s="10" t="inlineStr">
        <is>
          <t>脱骨侠虎皮凤爪(白松露味)</t>
        </is>
      </c>
      <c r="E8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8)&gt;0)*--(('出货退货'!$G$2:$G$500=C8)&gt;0)*'出货退货'!$J$2:$J$500)</f>
        <v/>
      </c>
      <c r="F8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8)&gt;0)*--(('销售明细'!$H$2:$H$500=C8)&gt;0)*'销售明细'!$O$2:$O$500)</f>
        <v/>
      </c>
      <c r="G8" s="11">
        <f>E8-F8</f>
        <v/>
      </c>
      <c r="H8" s="12">
        <f>IFERROR(E8/F8,0)</f>
        <v/>
      </c>
      <c r="I8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8)&gt;0)*--(('出货退货'!$G$2:$G$500=C8)&gt;0)*'出货退货'!$I$2:$I$500)</f>
        <v/>
      </c>
      <c r="J8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8)&gt;0)*--(('销售明细'!$H$2:$H$500=C8)&gt;0)*'销售明细'!$N$2:$N$500)</f>
        <v/>
      </c>
      <c r="K8" s="10">
        <f>IF(E8=0,"缺出货源",IF(H8&lt;0.8,"出货低于POS",IF(H8&gt;1.2,"出货高于POS","匹配")))</f>
        <v/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 ht="22" customHeight="1">
      <c r="A9" s="3" t="n"/>
      <c r="B9" s="10" t="inlineStr">
        <is>
          <t>沃尔玛</t>
        </is>
      </c>
      <c r="C9" s="10" t="inlineStr">
        <is>
          <t>25354863</t>
        </is>
      </c>
      <c r="D9" s="10" t="inlineStr">
        <is>
          <t>常温脱骨侠无骨鸡爪柠檬</t>
        </is>
      </c>
      <c r="E9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9)&gt;0)*--(('出货退货'!$G$2:$G$500=C9)&gt;0)*'出货退货'!$J$2:$J$500)</f>
        <v/>
      </c>
      <c r="F9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9)&gt;0)*--(('销售明细'!$H$2:$H$500=C9)&gt;0)*'销售明细'!$O$2:$O$500)</f>
        <v/>
      </c>
      <c r="G9" s="11">
        <f>E9-F9</f>
        <v/>
      </c>
      <c r="H9" s="12">
        <f>IFERROR(E9/F9,0)</f>
        <v/>
      </c>
      <c r="I9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9)&gt;0)*--(('出货退货'!$G$2:$G$500=C9)&gt;0)*'出货退货'!$I$2:$I$500)</f>
        <v/>
      </c>
      <c r="J9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9)&gt;0)*--(('销售明细'!$H$2:$H$500=C9)&gt;0)*'销售明细'!$N$2:$N$500)</f>
        <v/>
      </c>
      <c r="K9" s="10">
        <f>IF(E9=0,"缺出货源",IF(H9&lt;0.8,"出货低于POS",IF(H9&gt;1.2,"出货高于POS","匹配")))</f>
        <v/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ht="22" customHeight="1">
      <c r="A10" s="3" t="n"/>
      <c r="B10" s="10" t="inlineStr">
        <is>
          <t>盒马</t>
        </is>
      </c>
      <c r="C10" s="10" t="inlineStr">
        <is>
          <t>431448153</t>
        </is>
      </c>
      <c r="D10" s="10" t="inlineStr">
        <is>
          <t>盒马工坊 蒜香无骨鸡爪 230g</t>
        </is>
      </c>
      <c r="E10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10)&gt;0)*--(('出货退货'!$G$2:$G$500=C10)&gt;0)*'出货退货'!$J$2:$J$500)</f>
        <v/>
      </c>
      <c r="F10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10)&gt;0)*--(('销售明细'!$H$2:$H$500=C10)&gt;0)*'销售明细'!$O$2:$O$500)</f>
        <v/>
      </c>
      <c r="G10" s="11">
        <f>E10-F10</f>
        <v/>
      </c>
      <c r="H10" s="12">
        <f>IFERROR(E10/F10,0)</f>
        <v/>
      </c>
      <c r="I10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10)&gt;0)*--(('出货退货'!$G$2:$G$500=C10)&gt;0)*'出货退货'!$I$2:$I$500)</f>
        <v/>
      </c>
      <c r="J10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10)&gt;0)*--(('销售明细'!$H$2:$H$500=C10)&gt;0)*'销售明细'!$N$2:$N$500)</f>
        <v/>
      </c>
      <c r="K10" s="10">
        <f>IF(E10=0,"缺出货源",IF(H10&lt;0.8,"出货低于POS",IF(H10&gt;1.2,"出货高于POS","匹配")))</f>
        <v/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 ht="22" customHeight="1">
      <c r="A11" s="3" t="n"/>
      <c r="B11" s="10" t="inlineStr">
        <is>
          <t>天虹</t>
        </is>
      </c>
      <c r="C11" s="10" t="inlineStr">
        <is>
          <t>v000110869</t>
        </is>
      </c>
      <c r="D11" s="10" t="inlineStr">
        <is>
          <t>脱骨侠双椒无骨鸭掌</t>
        </is>
      </c>
      <c r="E11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11)&gt;0)*--(('出货退货'!$G$2:$G$500=C11)&gt;0)*'出货退货'!$J$2:$J$500)</f>
        <v/>
      </c>
      <c r="F11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11)&gt;0)*--(('销售明细'!$H$2:$H$500=C11)&gt;0)*'销售明细'!$O$2:$O$500)</f>
        <v/>
      </c>
      <c r="G11" s="11">
        <f>E11-F11</f>
        <v/>
      </c>
      <c r="H11" s="12">
        <f>IFERROR(E11/F11,0)</f>
        <v/>
      </c>
      <c r="I11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11)&gt;0)*--(('出货退货'!$G$2:$G$500=C11)&gt;0)*'出货退货'!$I$2:$I$500)</f>
        <v/>
      </c>
      <c r="J11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11)&gt;0)*--(('销售明细'!$H$2:$H$500=C11)&gt;0)*'销售明细'!$N$2:$N$500)</f>
        <v/>
      </c>
      <c r="K11" s="10">
        <f>IF(E11=0,"缺出货源",IF(H11&lt;0.8,"出货低于POS",IF(H11&gt;1.2,"出货高于POS","匹配")))</f>
        <v/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 ht="22" customHeight="1">
      <c r="A12" s="3" t="n"/>
      <c r="B12" s="10" t="inlineStr">
        <is>
          <t>家得福</t>
        </is>
      </c>
      <c r="C12" s="10" t="inlineStr">
        <is>
          <t>10081319</t>
        </is>
      </c>
      <c r="D12" s="10" t="inlineStr">
        <is>
          <t>脱骨侠酸辣柠檬无骨鸡爪780g</t>
        </is>
      </c>
      <c r="E12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12)&gt;0)*--(('出货退货'!$G$2:$G$500=C12)&gt;0)*'出货退货'!$J$2:$J$500)</f>
        <v/>
      </c>
      <c r="F12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12)&gt;0)*--(('销售明细'!$H$2:$H$500=C12)&gt;0)*'销售明细'!$O$2:$O$500)</f>
        <v/>
      </c>
      <c r="G12" s="11">
        <f>E12-F12</f>
        <v/>
      </c>
      <c r="H12" s="12">
        <f>IFERROR(E12/F12,0)</f>
        <v/>
      </c>
      <c r="I12" s="11">
        <f>SUMPRODUCT(('出货退货'!$A$2:$A$500=$C$3)*--((($F$3="全部")+('出货退货'!$B$2:$B$500=$F$3))&gt;0)*--((($I$3="全部")+('出货退货'!$C$2:$C$500=$I$3))&gt;0)*--((($L$3="全部")+('出货退货'!$D$2:$D$500=$L$3))&gt;0)*--(('出货退货'!$B$2:$B$500=B12)&gt;0)*--(('出货退货'!$G$2:$G$500=C12)&gt;0)*'出货退货'!$I$2:$I$500)</f>
        <v/>
      </c>
      <c r="J12" s="11">
        <f>SUMPRODUCT(('销售明细'!$A$2:$A$500=$C$3)*--((($F$3="全部")+('销售明细'!$B$2:$B$500=$F$3))&gt;0)*--((($I$3="全部")+('销售明细'!$C$2:$C$500=$I$3))&gt;0)*--((($L$3="全部")+('销售明细'!$D$2:$D$500=$L$3))&gt;0)*--(('销售明细'!$B$2:$B$500=B12)&gt;0)*--(('销售明细'!$H$2:$H$500=C12)&gt;0)*'销售明细'!$N$2:$N$500)</f>
        <v/>
      </c>
      <c r="K12" s="10">
        <f>IF(E12=0,"缺出货源",IF(H12&lt;0.8,"出货低于POS",IF(H12&gt;1.2,"出货高于POS","匹配")))</f>
        <v/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ht="22" customHeight="1">
      <c r="A15" s="3" t="n"/>
      <c r="B15" s="7" t="inlineStr">
        <is>
          <t>原始数据：POS销售明细与出货明细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 ht="22" customHeight="1">
      <c r="A16" s="3" t="n"/>
      <c r="B16" s="9" t="inlineStr">
        <is>
          <t>来源</t>
        </is>
      </c>
      <c r="C16" s="9" t="inlineStr">
        <is>
          <t>数据日期</t>
        </is>
      </c>
      <c r="D16" s="9" t="inlineStr">
        <is>
          <t>KA系统</t>
        </is>
      </c>
      <c r="E16" s="9" t="inlineStr">
        <is>
          <t>商品编码</t>
        </is>
      </c>
      <c r="F16" s="9" t="inlineStr">
        <is>
          <t>商品名称</t>
        </is>
      </c>
      <c r="G16" s="9" t="inlineStr">
        <is>
          <t>门店名称</t>
        </is>
      </c>
      <c r="H16" s="9" t="inlineStr">
        <is>
          <t>数量</t>
        </is>
      </c>
      <c r="I16" s="9" t="inlineStr">
        <is>
          <t>金额</t>
        </is>
      </c>
      <c r="J16" s="9" t="inlineStr">
        <is>
          <t>渠道/来源字段</t>
        </is>
      </c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 ht="22" customHeight="1">
      <c r="A18" s="3" t="n"/>
      <c r="B18" s="10" t="inlineStr">
        <is>
          <t>POS</t>
        </is>
      </c>
      <c r="C18" s="10">
        <f>'销售明细'!A2</f>
        <v/>
      </c>
      <c r="D18" s="10">
        <f>'销售明细'!B2</f>
        <v/>
      </c>
      <c r="E18" s="10">
        <f>'销售明细'!H2</f>
        <v/>
      </c>
      <c r="F18" s="10">
        <f>'销售明细'!J2</f>
        <v/>
      </c>
      <c r="G18" s="10">
        <f>'销售明细'!F2</f>
        <v/>
      </c>
      <c r="H18" s="11">
        <f>'销售明细'!N2</f>
        <v/>
      </c>
      <c r="I18" s="11">
        <f>'销售明细'!O2</f>
        <v/>
      </c>
      <c r="J18" s="10">
        <f>'销售明细'!M2</f>
        <v/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ht="22" customHeight="1">
      <c r="A19" s="3" t="n"/>
      <c r="B19" s="10" t="inlineStr">
        <is>
          <t>POS</t>
        </is>
      </c>
      <c r="C19" s="10">
        <f>'销售明细'!A3</f>
        <v/>
      </c>
      <c r="D19" s="10">
        <f>'销售明细'!B3</f>
        <v/>
      </c>
      <c r="E19" s="10">
        <f>'销售明细'!H3</f>
        <v/>
      </c>
      <c r="F19" s="10">
        <f>'销售明细'!J3</f>
        <v/>
      </c>
      <c r="G19" s="10">
        <f>'销售明细'!F3</f>
        <v/>
      </c>
      <c r="H19" s="11">
        <f>'销售明细'!N3</f>
        <v/>
      </c>
      <c r="I19" s="11">
        <f>'销售明细'!O3</f>
        <v/>
      </c>
      <c r="J19" s="10">
        <f>'销售明细'!M3</f>
        <v/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</row>
    <row r="20" ht="22" customHeight="1">
      <c r="A20" s="3" t="n"/>
      <c r="B20" s="10" t="inlineStr">
        <is>
          <t>POS</t>
        </is>
      </c>
      <c r="C20" s="10">
        <f>'销售明细'!A4</f>
        <v/>
      </c>
      <c r="D20" s="10">
        <f>'销售明细'!B4</f>
        <v/>
      </c>
      <c r="E20" s="10">
        <f>'销售明细'!H4</f>
        <v/>
      </c>
      <c r="F20" s="10">
        <f>'销售明细'!J4</f>
        <v/>
      </c>
      <c r="G20" s="10">
        <f>'销售明细'!F4</f>
        <v/>
      </c>
      <c r="H20" s="11">
        <f>'销售明细'!N4</f>
        <v/>
      </c>
      <c r="I20" s="11">
        <f>'销售明细'!O4</f>
        <v/>
      </c>
      <c r="J20" s="10">
        <f>'销售明细'!M4</f>
        <v/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 ht="22" customHeight="1">
      <c r="A21" s="3" t="n"/>
      <c r="B21" s="10" t="inlineStr">
        <is>
          <t>POS</t>
        </is>
      </c>
      <c r="C21" s="10">
        <f>'销售明细'!A5</f>
        <v/>
      </c>
      <c r="D21" s="10">
        <f>'销售明细'!B5</f>
        <v/>
      </c>
      <c r="E21" s="10">
        <f>'销售明细'!H5</f>
        <v/>
      </c>
      <c r="F21" s="10">
        <f>'销售明细'!J5</f>
        <v/>
      </c>
      <c r="G21" s="10">
        <f>'销售明细'!F5</f>
        <v/>
      </c>
      <c r="H21" s="11">
        <f>'销售明细'!N5</f>
        <v/>
      </c>
      <c r="I21" s="11">
        <f>'销售明细'!O5</f>
        <v/>
      </c>
      <c r="J21" s="10">
        <f>'销售明细'!M5</f>
        <v/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ht="22" customHeight="1">
      <c r="A22" s="3" t="n"/>
      <c r="B22" s="10" t="inlineStr">
        <is>
          <t>POS</t>
        </is>
      </c>
      <c r="C22" s="10">
        <f>'销售明细'!A6</f>
        <v/>
      </c>
      <c r="D22" s="10">
        <f>'销售明细'!B6</f>
        <v/>
      </c>
      <c r="E22" s="10">
        <f>'销售明细'!H6</f>
        <v/>
      </c>
      <c r="F22" s="10">
        <f>'销售明细'!J6</f>
        <v/>
      </c>
      <c r="G22" s="10">
        <f>'销售明细'!F6</f>
        <v/>
      </c>
      <c r="H22" s="11">
        <f>'销售明细'!N6</f>
        <v/>
      </c>
      <c r="I22" s="11">
        <f>'销售明细'!O6</f>
        <v/>
      </c>
      <c r="J22" s="10">
        <f>'销售明细'!M6</f>
        <v/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 ht="22" customHeight="1">
      <c r="A23" s="3" t="n"/>
      <c r="B23" s="10" t="inlineStr">
        <is>
          <t>POS</t>
        </is>
      </c>
      <c r="C23" s="10">
        <f>'销售明细'!A7</f>
        <v/>
      </c>
      <c r="D23" s="10">
        <f>'销售明细'!B7</f>
        <v/>
      </c>
      <c r="E23" s="10">
        <f>'销售明细'!H7</f>
        <v/>
      </c>
      <c r="F23" s="10">
        <f>'销售明细'!J7</f>
        <v/>
      </c>
      <c r="G23" s="10">
        <f>'销售明细'!F7</f>
        <v/>
      </c>
      <c r="H23" s="11">
        <f>'销售明细'!N7</f>
        <v/>
      </c>
      <c r="I23" s="11">
        <f>'销售明细'!O7</f>
        <v/>
      </c>
      <c r="J23" s="10">
        <f>'销售明细'!M7</f>
        <v/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ht="22" customHeight="1">
      <c r="A24" s="3" t="n"/>
      <c r="B24" s="10" t="inlineStr">
        <is>
          <t>POS</t>
        </is>
      </c>
      <c r="C24" s="10">
        <f>'销售明细'!A8</f>
        <v/>
      </c>
      <c r="D24" s="10">
        <f>'销售明细'!B8</f>
        <v/>
      </c>
      <c r="E24" s="10">
        <f>'销售明细'!H8</f>
        <v/>
      </c>
      <c r="F24" s="10">
        <f>'销售明细'!J8</f>
        <v/>
      </c>
      <c r="G24" s="10">
        <f>'销售明细'!F8</f>
        <v/>
      </c>
      <c r="H24" s="11">
        <f>'销售明细'!N8</f>
        <v/>
      </c>
      <c r="I24" s="11">
        <f>'销售明细'!O8</f>
        <v/>
      </c>
      <c r="J24" s="10">
        <f>'销售明细'!M8</f>
        <v/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 ht="22" customHeight="1">
      <c r="A25" s="3" t="n"/>
      <c r="B25" s="10" t="inlineStr">
        <is>
          <t>POS</t>
        </is>
      </c>
      <c r="C25" s="10">
        <f>'销售明细'!A9</f>
        <v/>
      </c>
      <c r="D25" s="10">
        <f>'销售明细'!B9</f>
        <v/>
      </c>
      <c r="E25" s="10">
        <f>'销售明细'!H9</f>
        <v/>
      </c>
      <c r="F25" s="10">
        <f>'销售明细'!J9</f>
        <v/>
      </c>
      <c r="G25" s="10">
        <f>'销售明细'!F9</f>
        <v/>
      </c>
      <c r="H25" s="11">
        <f>'销售明细'!N9</f>
        <v/>
      </c>
      <c r="I25" s="11">
        <f>'销售明细'!O9</f>
        <v/>
      </c>
      <c r="J25" s="10">
        <f>'销售明细'!M9</f>
        <v/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 ht="22" customHeight="1">
      <c r="A26" s="3" t="n"/>
      <c r="B26" s="10" t="inlineStr">
        <is>
          <t>POS</t>
        </is>
      </c>
      <c r="C26" s="10">
        <f>'销售明细'!A10</f>
        <v/>
      </c>
      <c r="D26" s="10">
        <f>'销售明细'!B10</f>
        <v/>
      </c>
      <c r="E26" s="10">
        <f>'销售明细'!H10</f>
        <v/>
      </c>
      <c r="F26" s="10">
        <f>'销售明细'!J10</f>
        <v/>
      </c>
      <c r="G26" s="10">
        <f>'销售明细'!F10</f>
        <v/>
      </c>
      <c r="H26" s="11">
        <f>'销售明细'!N10</f>
        <v/>
      </c>
      <c r="I26" s="11">
        <f>'销售明细'!O10</f>
        <v/>
      </c>
      <c r="J26" s="10">
        <f>'销售明细'!M10</f>
        <v/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ht="22" customHeight="1">
      <c r="A27" s="3" t="n"/>
      <c r="B27" s="10" t="inlineStr">
        <is>
          <t>POS</t>
        </is>
      </c>
      <c r="C27" s="10">
        <f>'销售明细'!A11</f>
        <v/>
      </c>
      <c r="D27" s="10">
        <f>'销售明细'!B11</f>
        <v/>
      </c>
      <c r="E27" s="10">
        <f>'销售明细'!H11</f>
        <v/>
      </c>
      <c r="F27" s="10">
        <f>'销售明细'!J11</f>
        <v/>
      </c>
      <c r="G27" s="10">
        <f>'销售明细'!F11</f>
        <v/>
      </c>
      <c r="H27" s="11">
        <f>'销售明细'!N11</f>
        <v/>
      </c>
      <c r="I27" s="11">
        <f>'销售明细'!O11</f>
        <v/>
      </c>
      <c r="J27" s="10">
        <f>'销售明细'!M11</f>
        <v/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 ht="22" customHeight="1">
      <c r="A28" s="3" t="n"/>
      <c r="B28" s="10" t="inlineStr">
        <is>
          <t>POS</t>
        </is>
      </c>
      <c r="C28" s="10">
        <f>'销售明细'!A12</f>
        <v/>
      </c>
      <c r="D28" s="10">
        <f>'销售明细'!B12</f>
        <v/>
      </c>
      <c r="E28" s="10">
        <f>'销售明细'!H12</f>
        <v/>
      </c>
      <c r="F28" s="10">
        <f>'销售明细'!J12</f>
        <v/>
      </c>
      <c r="G28" s="10">
        <f>'销售明细'!F12</f>
        <v/>
      </c>
      <c r="H28" s="11">
        <f>'销售明细'!N12</f>
        <v/>
      </c>
      <c r="I28" s="11">
        <f>'销售明细'!O12</f>
        <v/>
      </c>
      <c r="J28" s="10">
        <f>'销售明细'!M12</f>
        <v/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 ht="22" customHeight="1">
      <c r="A29" s="3" t="n"/>
      <c r="B29" s="10" t="inlineStr">
        <is>
          <t>POS</t>
        </is>
      </c>
      <c r="C29" s="10">
        <f>'销售明细'!A13</f>
        <v/>
      </c>
      <c r="D29" s="10">
        <f>'销售明细'!B13</f>
        <v/>
      </c>
      <c r="E29" s="10">
        <f>'销售明细'!H13</f>
        <v/>
      </c>
      <c r="F29" s="10">
        <f>'销售明细'!J13</f>
        <v/>
      </c>
      <c r="G29" s="10">
        <f>'销售明细'!F13</f>
        <v/>
      </c>
      <c r="H29" s="11">
        <f>'销售明细'!N13</f>
        <v/>
      </c>
      <c r="I29" s="11">
        <f>'销售明细'!O13</f>
        <v/>
      </c>
      <c r="J29" s="10">
        <f>'销售明细'!M13</f>
        <v/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ht="22" customHeight="1">
      <c r="A30" s="3" t="n"/>
      <c r="B30" s="10" t="inlineStr">
        <is>
          <t>POS</t>
        </is>
      </c>
      <c r="C30" s="10">
        <f>'销售明细'!A14</f>
        <v/>
      </c>
      <c r="D30" s="10">
        <f>'销售明细'!B14</f>
        <v/>
      </c>
      <c r="E30" s="10">
        <f>'销售明细'!H14</f>
        <v/>
      </c>
      <c r="F30" s="10">
        <f>'销售明细'!J14</f>
        <v/>
      </c>
      <c r="G30" s="10">
        <f>'销售明细'!F14</f>
        <v/>
      </c>
      <c r="H30" s="11">
        <f>'销售明细'!N14</f>
        <v/>
      </c>
      <c r="I30" s="11">
        <f>'销售明细'!O14</f>
        <v/>
      </c>
      <c r="J30" s="10">
        <f>'销售明细'!M14</f>
        <v/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 ht="22" customHeight="1">
      <c r="A31" s="3" t="n"/>
      <c r="B31" s="10" t="inlineStr">
        <is>
          <t>POS</t>
        </is>
      </c>
      <c r="C31" s="10">
        <f>'销售明细'!A15</f>
        <v/>
      </c>
      <c r="D31" s="10">
        <f>'销售明细'!B15</f>
        <v/>
      </c>
      <c r="E31" s="10">
        <f>'销售明细'!H15</f>
        <v/>
      </c>
      <c r="F31" s="10">
        <f>'销售明细'!J15</f>
        <v/>
      </c>
      <c r="G31" s="10">
        <f>'销售明细'!F15</f>
        <v/>
      </c>
      <c r="H31" s="11">
        <f>'销售明细'!N15</f>
        <v/>
      </c>
      <c r="I31" s="11">
        <f>'销售明细'!O15</f>
        <v/>
      </c>
      <c r="J31" s="10">
        <f>'销售明细'!M15</f>
        <v/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ht="22" customHeight="1">
      <c r="A32" s="3" t="n"/>
      <c r="B32" s="10" t="inlineStr">
        <is>
          <t>POS</t>
        </is>
      </c>
      <c r="C32" s="10">
        <f>'销售明细'!A16</f>
        <v/>
      </c>
      <c r="D32" s="10">
        <f>'销售明细'!B16</f>
        <v/>
      </c>
      <c r="E32" s="10">
        <f>'销售明细'!H16</f>
        <v/>
      </c>
      <c r="F32" s="10">
        <f>'销售明细'!J16</f>
        <v/>
      </c>
      <c r="G32" s="10">
        <f>'销售明细'!F16</f>
        <v/>
      </c>
      <c r="H32" s="11">
        <f>'销售明细'!N16</f>
        <v/>
      </c>
      <c r="I32" s="11">
        <f>'销售明细'!O16</f>
        <v/>
      </c>
      <c r="J32" s="10">
        <f>'销售明细'!M16</f>
        <v/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 ht="22" customHeight="1">
      <c r="A33" s="3" t="n"/>
      <c r="B33" s="10" t="n"/>
      <c r="C33" s="10" t="n"/>
      <c r="D33" s="10" t="n"/>
      <c r="E33" s="10" t="n"/>
      <c r="F33" s="10" t="n"/>
      <c r="G33" s="10" t="n"/>
      <c r="H33" s="11" t="n"/>
      <c r="I33" s="11" t="n"/>
      <c r="J33" s="10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ht="22" customHeight="1">
      <c r="A34" s="3" t="n"/>
      <c r="B34" s="10" t="n"/>
      <c r="C34" s="10" t="n"/>
      <c r="D34" s="10" t="n"/>
      <c r="E34" s="10" t="n"/>
      <c r="F34" s="10" t="n"/>
      <c r="G34" s="10" t="n"/>
      <c r="H34" s="11" t="n"/>
      <c r="I34" s="11" t="n"/>
      <c r="J34" s="10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 ht="22" customHeight="1">
      <c r="A35" s="3" t="n"/>
      <c r="B35" s="10" t="inlineStr">
        <is>
          <t>出货</t>
        </is>
      </c>
      <c r="C35" s="10">
        <f>'出货退货'!A2</f>
        <v/>
      </c>
      <c r="D35" s="10">
        <f>'出货退货'!B2</f>
        <v/>
      </c>
      <c r="E35" s="10">
        <f>'出货退货'!G2</f>
        <v/>
      </c>
      <c r="F35" s="10">
        <f>'出货退货'!H2</f>
        <v/>
      </c>
      <c r="G35" s="10">
        <f>'出货退货'!F2</f>
        <v/>
      </c>
      <c r="H35" s="11">
        <f>'出货退货'!I2</f>
        <v/>
      </c>
      <c r="I35" s="11">
        <f>'出货退货'!J2</f>
        <v/>
      </c>
      <c r="J35" s="10">
        <f>'出货退货'!M2</f>
        <v/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</row>
    <row r="36" ht="22" customHeight="1">
      <c r="A36" s="3" t="n"/>
      <c r="B36" s="10" t="inlineStr">
        <is>
          <t>出货</t>
        </is>
      </c>
      <c r="C36" s="10">
        <f>'出货退货'!A3</f>
        <v/>
      </c>
      <c r="D36" s="10">
        <f>'出货退货'!B3</f>
        <v/>
      </c>
      <c r="E36" s="10">
        <f>'出货退货'!G3</f>
        <v/>
      </c>
      <c r="F36" s="10">
        <f>'出货退货'!H3</f>
        <v/>
      </c>
      <c r="G36" s="10">
        <f>'出货退货'!F3</f>
        <v/>
      </c>
      <c r="H36" s="11">
        <f>'出货退货'!I3</f>
        <v/>
      </c>
      <c r="I36" s="11">
        <f>'出货退货'!J3</f>
        <v/>
      </c>
      <c r="J36" s="10">
        <f>'出货退货'!M3</f>
        <v/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ht="22" customHeight="1">
      <c r="A37" s="3" t="n"/>
      <c r="B37" s="10" t="inlineStr">
        <is>
          <t>出货</t>
        </is>
      </c>
      <c r="C37" s="10">
        <f>'出货退货'!A4</f>
        <v/>
      </c>
      <c r="D37" s="10">
        <f>'出货退货'!B4</f>
        <v/>
      </c>
      <c r="E37" s="10">
        <f>'出货退货'!G4</f>
        <v/>
      </c>
      <c r="F37" s="10">
        <f>'出货退货'!H4</f>
        <v/>
      </c>
      <c r="G37" s="10">
        <f>'出货退货'!F4</f>
        <v/>
      </c>
      <c r="H37" s="11">
        <f>'出货退货'!I4</f>
        <v/>
      </c>
      <c r="I37" s="11">
        <f>'出货退货'!J4</f>
        <v/>
      </c>
      <c r="J37" s="10">
        <f>'出货退货'!M4</f>
        <v/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</row>
    <row r="38" ht="22" customHeight="1">
      <c r="A38" s="3" t="n"/>
      <c r="B38" s="10" t="inlineStr">
        <is>
          <t>出货</t>
        </is>
      </c>
      <c r="C38" s="10">
        <f>'出货退货'!A5</f>
        <v/>
      </c>
      <c r="D38" s="10">
        <f>'出货退货'!B5</f>
        <v/>
      </c>
      <c r="E38" s="10">
        <f>'出货退货'!G5</f>
        <v/>
      </c>
      <c r="F38" s="10">
        <f>'出货退货'!H5</f>
        <v/>
      </c>
      <c r="G38" s="10">
        <f>'出货退货'!F5</f>
        <v/>
      </c>
      <c r="H38" s="11">
        <f>'出货退货'!I5</f>
        <v/>
      </c>
      <c r="I38" s="11">
        <f>'出货退货'!J5</f>
        <v/>
      </c>
      <c r="J38" s="10">
        <f>'出货退货'!M5</f>
        <v/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 ht="22" customHeight="1">
      <c r="A39" s="3" t="n"/>
      <c r="B39" s="10" t="inlineStr">
        <is>
          <t>出货</t>
        </is>
      </c>
      <c r="C39" s="10">
        <f>'出货退货'!A6</f>
        <v/>
      </c>
      <c r="D39" s="10">
        <f>'出货退货'!B6</f>
        <v/>
      </c>
      <c r="E39" s="10">
        <f>'出货退货'!G6</f>
        <v/>
      </c>
      <c r="F39" s="10">
        <f>'出货退货'!H6</f>
        <v/>
      </c>
      <c r="G39" s="10">
        <f>'出货退货'!F6</f>
        <v/>
      </c>
      <c r="H39" s="11">
        <f>'出货退货'!I6</f>
        <v/>
      </c>
      <c r="I39" s="11">
        <f>'出货退货'!J6</f>
        <v/>
      </c>
      <c r="J39" s="10">
        <f>'出货退货'!M6</f>
        <v/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ht="22" customHeight="1">
      <c r="A40" s="3" t="n"/>
      <c r="B40" s="10" t="n"/>
      <c r="C40" s="10" t="n"/>
      <c r="D40" s="10" t="n"/>
      <c r="E40" s="10" t="n"/>
      <c r="F40" s="10" t="n"/>
      <c r="G40" s="10" t="n"/>
      <c r="H40" s="11" t="n"/>
      <c r="I40" s="11" t="n"/>
      <c r="J40" s="10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ht="2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</sheetData>
  <mergeCells count="4">
    <mergeCell ref="A1:U1"/>
    <mergeCell ref="B15:K15"/>
    <mergeCell ref="B5:J5"/>
    <mergeCell ref="A2:U2"/>
  </mergeCells>
  <dataValidations count="3">
    <dataValidation sqref="F3" showDropDown="0" showInputMessage="0" showErrorMessage="0" allowBlank="0" type="list">
      <formula1>"全部,大润发,盒马,华润,沃尔玛,永辉,天虹,比优特,家得福"</formula1>
    </dataValidation>
    <dataValidation sqref="I3" showDropDown="0" showInputMessage="0" showErrorMessage="0" allowBlank="0" type="list">
      <formula1>"全部,华东,华南,华北,华中,西北,东北"</formula1>
    </dataValidation>
    <dataValidation sqref="L3" showDropDown="0" showInputMessage="0" showErrorMessage="0" allowBlank="0" type="list">
      <formula1>"全部,上海,江苏,广东,北京,湖北,浙江,黑龙江,天津"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2" customHeight="1">
      <c r="A1" s="1" t="inlineStr">
        <is>
          <t>门店端库存周转天数</t>
        </is>
      </c>
    </row>
    <row r="2" ht="22" customHeight="1">
      <c r="A2" s="2" t="inlineStr">
        <is>
          <t>关键词：POS数据、门店端库存、各大区、各单品、数据日前7天平均。</t>
        </is>
      </c>
    </row>
    <row r="3" ht="22" customHeight="1">
      <c r="A3" s="3" t="n"/>
      <c r="B3" s="4" t="inlineStr">
        <is>
          <t>统计日期</t>
        </is>
      </c>
      <c r="C3" s="5">
        <f>MAX('销售明细'!A2:A500)</f>
        <v/>
      </c>
      <c r="D3" s="3" t="n"/>
      <c r="E3" s="4" t="inlineStr">
        <is>
          <t>KA系统</t>
        </is>
      </c>
      <c r="F3" s="6" t="inlineStr">
        <is>
          <t>全部</t>
        </is>
      </c>
      <c r="G3" s="3" t="n"/>
      <c r="H3" s="4" t="inlineStr">
        <is>
          <t>大区</t>
        </is>
      </c>
      <c r="I3" s="6" t="inlineStr">
        <is>
          <t>全部</t>
        </is>
      </c>
      <c r="J3" s="3" t="n"/>
      <c r="K3" s="4" t="inlineStr">
        <is>
          <t>省份</t>
        </is>
      </c>
      <c r="L3" s="6" t="inlineStr">
        <is>
          <t>全部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22" customHeight="1">
      <c r="A5" s="3" t="n"/>
      <c r="B5" s="7" t="inlineStr">
        <is>
          <t>汇总：各大区区分各单品库存周转天数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 ht="22" customHeight="1">
      <c r="A6" s="3" t="n"/>
      <c r="B6" s="9" t="inlineStr">
        <is>
          <t>大区</t>
        </is>
      </c>
      <c r="C6" s="9" t="inlineStr">
        <is>
          <t>商品编码</t>
        </is>
      </c>
      <c r="D6" s="9" t="inlineStr">
        <is>
          <t>商品名称</t>
        </is>
      </c>
      <c r="E6" s="9" t="inlineStr">
        <is>
          <t>门店库存</t>
        </is>
      </c>
      <c r="F6" s="9" t="inlineStr">
        <is>
          <t>近7日平均销量</t>
        </is>
      </c>
      <c r="G6" s="9" t="inlineStr">
        <is>
          <t>库存周转天数</t>
        </is>
      </c>
      <c r="H6" s="9" t="inlineStr">
        <is>
          <t>有库存门店数</t>
        </is>
      </c>
      <c r="I6" s="9" t="inlineStr">
        <is>
          <t>动销门店数</t>
        </is>
      </c>
      <c r="J6" s="9" t="inlineStr">
        <is>
          <t>风险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ht="22" customHeight="1">
      <c r="A7" s="3" t="n"/>
      <c r="B7" s="10" t="inlineStr">
        <is>
          <t>华东</t>
        </is>
      </c>
      <c r="C7" s="10" t="inlineStr">
        <is>
          <t>4354168</t>
        </is>
      </c>
      <c r="D7" s="10" t="inlineStr">
        <is>
          <t>脱骨侠无骨鸡爪(柠檬味)</t>
        </is>
      </c>
      <c r="E7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7)&gt;0)*--(('库存明细'!$H$2:$H$500=C7)&gt;0)*'库存明细'!$J$2:$J$500)</f>
        <v/>
      </c>
      <c r="F7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7)&gt;0)*--(('库存明细'!$H$2:$H$500=C7)&gt;0)*'库存明细'!$M$2:$M$500)</f>
        <v/>
      </c>
      <c r="G7" s="11">
        <f>IFERROR(E7/F7,"")</f>
        <v/>
      </c>
      <c r="H7" s="11">
        <f>COUNTIFS('库存明细'!$A$2:$A$500,$C$3,'库存明细'!$C$2:$C$500,B7,'库存明细'!$H$2:$H$500,C7,'库存明细'!$J$2:$J$500,"&gt;0")</f>
        <v/>
      </c>
      <c r="I7" s="11">
        <f>COUNTIFS('销售明细'!$A$2:$A$500,$C$3,'销售明细'!$C$2:$C$500,B7,'销售明细'!$H$2:$H$500,C7,'销售明细'!$N$2:$N$500,"&gt;0")</f>
        <v/>
      </c>
      <c r="J7" s="10">
        <f>IF(G7="","无动销",IF(G7&gt;60,"高风险","正常"))</f>
        <v/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 ht="22" customHeight="1">
      <c r="A8" s="3" t="n"/>
      <c r="B8" s="10" t="inlineStr">
        <is>
          <t>华南</t>
        </is>
      </c>
      <c r="C8" s="10" t="inlineStr">
        <is>
          <t>4502138</t>
        </is>
      </c>
      <c r="D8" s="10" t="inlineStr">
        <is>
          <t>脱骨侠虎皮凤爪(白松露味)</t>
        </is>
      </c>
      <c r="E8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8)&gt;0)*--(('库存明细'!$H$2:$H$500=C8)&gt;0)*'库存明细'!$J$2:$J$500)</f>
        <v/>
      </c>
      <c r="F8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8)&gt;0)*--(('库存明细'!$H$2:$H$500=C8)&gt;0)*'库存明细'!$M$2:$M$500)</f>
        <v/>
      </c>
      <c r="G8" s="11">
        <f>IFERROR(E8/F8,"")</f>
        <v/>
      </c>
      <c r="H8" s="11">
        <f>COUNTIFS('库存明细'!$A$2:$A$500,$C$3,'库存明细'!$C$2:$C$500,B8,'库存明细'!$H$2:$H$500,C8,'库存明细'!$J$2:$J$500,"&gt;0")</f>
        <v/>
      </c>
      <c r="I8" s="11">
        <f>COUNTIFS('销售明细'!$A$2:$A$500,$C$3,'销售明细'!$C$2:$C$500,B8,'销售明细'!$H$2:$H$500,C8,'销售明细'!$N$2:$N$500,"&gt;0")</f>
        <v/>
      </c>
      <c r="J8" s="10">
        <f>IF(G8="","无动销",IF(G8&gt;60,"高风险","正常"))</f>
        <v/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 ht="22" customHeight="1">
      <c r="A9" s="3" t="n"/>
      <c r="B9" s="10" t="inlineStr">
        <is>
          <t>华南</t>
        </is>
      </c>
      <c r="C9" s="10" t="inlineStr">
        <is>
          <t>25354863</t>
        </is>
      </c>
      <c r="D9" s="10" t="inlineStr">
        <is>
          <t>常温脱骨侠无骨鸡爪柠檬</t>
        </is>
      </c>
      <c r="E9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9)&gt;0)*--(('库存明细'!$H$2:$H$500=C9)&gt;0)*'库存明细'!$J$2:$J$500)</f>
        <v/>
      </c>
      <c r="F9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9)&gt;0)*--(('库存明细'!$H$2:$H$500=C9)&gt;0)*'库存明细'!$M$2:$M$500)</f>
        <v/>
      </c>
      <c r="G9" s="11">
        <f>IFERROR(E9/F9,"")</f>
        <v/>
      </c>
      <c r="H9" s="11">
        <f>COUNTIFS('库存明细'!$A$2:$A$500,$C$3,'库存明细'!$C$2:$C$500,B9,'库存明细'!$H$2:$H$500,C9,'库存明细'!$J$2:$J$500,"&gt;0")</f>
        <v/>
      </c>
      <c r="I9" s="11">
        <f>COUNTIFS('销售明细'!$A$2:$A$500,$C$3,'销售明细'!$C$2:$C$500,B9,'销售明细'!$H$2:$H$500,C9,'销售明细'!$N$2:$N$500,"&gt;0")</f>
        <v/>
      </c>
      <c r="J9" s="10">
        <f>IF(G9="","无动销",IF(G9&gt;60,"高风险","正常"))</f>
        <v/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ht="22" customHeight="1">
      <c r="A10" s="3" t="n"/>
      <c r="B10" s="10" t="inlineStr">
        <is>
          <t>华北</t>
        </is>
      </c>
      <c r="C10" s="10" t="inlineStr">
        <is>
          <t>5150673</t>
        </is>
      </c>
      <c r="D10" s="10" t="inlineStr">
        <is>
          <t>脱骨侠无骨鸡爪(柠檬味)158g</t>
        </is>
      </c>
      <c r="E10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10)&gt;0)*--(('库存明细'!$H$2:$H$500=C10)&gt;0)*'库存明细'!$J$2:$J$500)</f>
        <v/>
      </c>
      <c r="F10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10)&gt;0)*--(('库存明细'!$H$2:$H$500=C10)&gt;0)*'库存明细'!$M$2:$M$500)</f>
        <v/>
      </c>
      <c r="G10" s="11">
        <f>IFERROR(E10/F10,"")</f>
        <v/>
      </c>
      <c r="H10" s="11">
        <f>COUNTIFS('库存明细'!$A$2:$A$500,$C$3,'库存明细'!$C$2:$C$500,B10,'库存明细'!$H$2:$H$500,C10,'库存明细'!$J$2:$J$500,"&gt;0")</f>
        <v/>
      </c>
      <c r="I10" s="11">
        <f>COUNTIFS('销售明细'!$A$2:$A$500,$C$3,'销售明细'!$C$2:$C$500,B10,'销售明细'!$H$2:$H$500,C10,'销售明细'!$N$2:$N$500,"&gt;0")</f>
        <v/>
      </c>
      <c r="J10" s="10">
        <f>IF(G10="","无动销",IF(G10&gt;60,"高风险","正常"))</f>
        <v/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 ht="22" customHeight="1">
      <c r="A11" s="3" t="n"/>
      <c r="B11" s="10" t="inlineStr">
        <is>
          <t>华中</t>
        </is>
      </c>
      <c r="C11" s="10" t="inlineStr">
        <is>
          <t>431448153</t>
        </is>
      </c>
      <c r="D11" s="10" t="inlineStr">
        <is>
          <t>盒马工坊 蒜香无骨鸡爪 230g</t>
        </is>
      </c>
      <c r="E11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11)&gt;0)*--(('库存明细'!$H$2:$H$500=C11)&gt;0)*'库存明细'!$J$2:$J$500)</f>
        <v/>
      </c>
      <c r="F11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11)&gt;0)*--(('库存明细'!$H$2:$H$500=C11)&gt;0)*'库存明细'!$M$2:$M$500)</f>
        <v/>
      </c>
      <c r="G11" s="11">
        <f>IFERROR(E11/F11,"")</f>
        <v/>
      </c>
      <c r="H11" s="11">
        <f>COUNTIFS('库存明细'!$A$2:$A$500,$C$3,'库存明细'!$C$2:$C$500,B11,'库存明细'!$H$2:$H$500,C11,'库存明细'!$J$2:$J$500,"&gt;0")</f>
        <v/>
      </c>
      <c r="I11" s="11">
        <f>COUNTIFS('销售明细'!$A$2:$A$500,$C$3,'销售明细'!$C$2:$C$500,B11,'销售明细'!$H$2:$H$500,C11,'销售明细'!$N$2:$N$500,"&gt;0")</f>
        <v/>
      </c>
      <c r="J11" s="10">
        <f>IF(G11="","无动销",IF(G11&gt;60,"高风险","正常"))</f>
        <v/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 ht="22" customHeight="1">
      <c r="A12" s="3" t="n"/>
      <c r="B12" s="10" t="inlineStr">
        <is>
          <t>华东</t>
        </is>
      </c>
      <c r="C12" s="10" t="inlineStr">
        <is>
          <t>10081319</t>
        </is>
      </c>
      <c r="D12" s="10" t="inlineStr">
        <is>
          <t>脱骨侠酸辣柠檬无骨鸡爪780g</t>
        </is>
      </c>
      <c r="E12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12)&gt;0)*--(('库存明细'!$H$2:$H$500=C12)&gt;0)*'库存明细'!$J$2:$J$500)</f>
        <v/>
      </c>
      <c r="F12" s="11">
        <f>SUMPRODUCT(('库存明细'!$A$2:$A$500=$C$3)*--((($F$3="全部")+('库存明细'!$B$2:$B$500=$F$3))&gt;0)*--((($I$3="全部")+('库存明细'!$C$2:$C$500=$I$3))&gt;0)*--((($L$3="全部")+('库存明细'!$D$2:$D$500=$L$3))&gt;0)*--(('库存明细'!$C$2:$C$500=B12)&gt;0)*--(('库存明细'!$H$2:$H$500=C12)&gt;0)*'库存明细'!$M$2:$M$500)</f>
        <v/>
      </c>
      <c r="G12" s="11">
        <f>IFERROR(E12/F12,"")</f>
        <v/>
      </c>
      <c r="H12" s="11">
        <f>COUNTIFS('库存明细'!$A$2:$A$500,$C$3,'库存明细'!$C$2:$C$500,B12,'库存明细'!$H$2:$H$500,C12,'库存明细'!$J$2:$J$500,"&gt;0")</f>
        <v/>
      </c>
      <c r="I12" s="11">
        <f>COUNTIFS('销售明细'!$A$2:$A$500,$C$3,'销售明细'!$C$2:$C$500,B12,'销售明细'!$H$2:$H$500,C12,'销售明细'!$N$2:$N$500,"&gt;0")</f>
        <v/>
      </c>
      <c r="J12" s="10">
        <f>IF(G12="","无动销",IF(G12&gt;60,"高风险","正常"))</f>
        <v/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ht="22" customHeight="1">
      <c r="A15" s="3" t="n"/>
      <c r="B15" s="7" t="inlineStr">
        <is>
          <t>原始数据：库存明细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 ht="22" customHeight="1">
      <c r="A16" s="3" t="n"/>
      <c r="B16" s="9" t="inlineStr">
        <is>
          <t>数据日期</t>
        </is>
      </c>
      <c r="C16" s="9" t="inlineStr">
        <is>
          <t>KA系统</t>
        </is>
      </c>
      <c r="D16" s="9" t="inlineStr">
        <is>
          <t>大区</t>
        </is>
      </c>
      <c r="E16" s="9" t="inlineStr">
        <is>
          <t>省份</t>
        </is>
      </c>
      <c r="F16" s="9" t="inlineStr">
        <is>
          <t>门店编码</t>
        </is>
      </c>
      <c r="G16" s="9" t="inlineStr">
        <is>
          <t>门店名称</t>
        </is>
      </c>
      <c r="H16" s="9" t="inlineStr">
        <is>
          <t>商品编码</t>
        </is>
      </c>
      <c r="I16" s="9" t="inlineStr">
        <is>
          <t>商品名称</t>
        </is>
      </c>
      <c r="J16" s="9" t="inlineStr">
        <is>
          <t>门店库存</t>
        </is>
      </c>
      <c r="K16" s="9" t="inlineStr">
        <is>
          <t>近7日平均销量</t>
        </is>
      </c>
      <c r="L16" s="9" t="inlineStr">
        <is>
          <t>周转天数</t>
        </is>
      </c>
      <c r="M16" s="9" t="inlineStr">
        <is>
          <t>是否超60天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 ht="22" customHeight="1">
      <c r="A18" s="3" t="n"/>
      <c r="B18" s="10">
        <f>'库存明细'!A2</f>
        <v/>
      </c>
      <c r="C18" s="10">
        <f>'库存明细'!B2</f>
        <v/>
      </c>
      <c r="D18" s="10">
        <f>'库存明细'!C2</f>
        <v/>
      </c>
      <c r="E18" s="10">
        <f>'库存明细'!D2</f>
        <v/>
      </c>
      <c r="F18" s="10">
        <f>'库存明细'!E2</f>
        <v/>
      </c>
      <c r="G18" s="10">
        <f>'库存明细'!F2</f>
        <v/>
      </c>
      <c r="H18" s="10">
        <f>'库存明细'!H2</f>
        <v/>
      </c>
      <c r="I18" s="10">
        <f>'库存明细'!I2</f>
        <v/>
      </c>
      <c r="J18" s="11">
        <f>'库存明细'!J2</f>
        <v/>
      </c>
      <c r="K18" s="11">
        <f>'库存明细'!M2</f>
        <v/>
      </c>
      <c r="L18" s="11">
        <f>'库存明细'!N2</f>
        <v/>
      </c>
      <c r="M18" s="10">
        <f>'库存明细'!O2</f>
        <v/>
      </c>
      <c r="N18" s="3" t="n"/>
      <c r="O18" s="3" t="n"/>
      <c r="P18" s="3" t="n"/>
      <c r="Q18" s="3" t="n"/>
      <c r="R18" s="3" t="n"/>
      <c r="S18" s="3" t="n"/>
      <c r="T18" s="3" t="n"/>
      <c r="U18" s="3" t="n"/>
    </row>
    <row r="19" ht="22" customHeight="1">
      <c r="A19" s="3" t="n"/>
      <c r="B19" s="10">
        <f>'库存明细'!A3</f>
        <v/>
      </c>
      <c r="C19" s="10">
        <f>'库存明细'!B3</f>
        <v/>
      </c>
      <c r="D19" s="10">
        <f>'库存明细'!C3</f>
        <v/>
      </c>
      <c r="E19" s="10">
        <f>'库存明细'!D3</f>
        <v/>
      </c>
      <c r="F19" s="10">
        <f>'库存明细'!E3</f>
        <v/>
      </c>
      <c r="G19" s="10">
        <f>'库存明细'!F3</f>
        <v/>
      </c>
      <c r="H19" s="10">
        <f>'库存明细'!H3</f>
        <v/>
      </c>
      <c r="I19" s="10">
        <f>'库存明细'!I3</f>
        <v/>
      </c>
      <c r="J19" s="11">
        <f>'库存明细'!J3</f>
        <v/>
      </c>
      <c r="K19" s="11">
        <f>'库存明细'!M3</f>
        <v/>
      </c>
      <c r="L19" s="11">
        <f>'库存明细'!N3</f>
        <v/>
      </c>
      <c r="M19" s="10">
        <f>'库存明细'!O3</f>
        <v/>
      </c>
      <c r="N19" s="3" t="n"/>
      <c r="O19" s="3" t="n"/>
      <c r="P19" s="3" t="n"/>
      <c r="Q19" s="3" t="n"/>
      <c r="R19" s="3" t="n"/>
      <c r="S19" s="3" t="n"/>
      <c r="T19" s="3" t="n"/>
      <c r="U19" s="3" t="n"/>
    </row>
    <row r="20" ht="22" customHeight="1">
      <c r="A20" s="3" t="n"/>
      <c r="B20" s="10">
        <f>'库存明细'!A4</f>
        <v/>
      </c>
      <c r="C20" s="10">
        <f>'库存明细'!B4</f>
        <v/>
      </c>
      <c r="D20" s="10">
        <f>'库存明细'!C4</f>
        <v/>
      </c>
      <c r="E20" s="10">
        <f>'库存明细'!D4</f>
        <v/>
      </c>
      <c r="F20" s="10">
        <f>'库存明细'!E4</f>
        <v/>
      </c>
      <c r="G20" s="10">
        <f>'库存明细'!F4</f>
        <v/>
      </c>
      <c r="H20" s="10">
        <f>'库存明细'!H4</f>
        <v/>
      </c>
      <c r="I20" s="10">
        <f>'库存明细'!I4</f>
        <v/>
      </c>
      <c r="J20" s="11">
        <f>'库存明细'!J4</f>
        <v/>
      </c>
      <c r="K20" s="11">
        <f>'库存明细'!M4</f>
        <v/>
      </c>
      <c r="L20" s="11">
        <f>'库存明细'!N4</f>
        <v/>
      </c>
      <c r="M20" s="10">
        <f>'库存明细'!O4</f>
        <v/>
      </c>
      <c r="N20" s="3" t="n"/>
      <c r="O20" s="3" t="n"/>
      <c r="P20" s="3" t="n"/>
      <c r="Q20" s="3" t="n"/>
      <c r="R20" s="3" t="n"/>
      <c r="S20" s="3" t="n"/>
      <c r="T20" s="3" t="n"/>
      <c r="U20" s="3" t="n"/>
    </row>
    <row r="21" ht="22" customHeight="1">
      <c r="A21" s="3" t="n"/>
      <c r="B21" s="10">
        <f>'库存明细'!A5</f>
        <v/>
      </c>
      <c r="C21" s="10">
        <f>'库存明细'!B5</f>
        <v/>
      </c>
      <c r="D21" s="10">
        <f>'库存明细'!C5</f>
        <v/>
      </c>
      <c r="E21" s="10">
        <f>'库存明细'!D5</f>
        <v/>
      </c>
      <c r="F21" s="10">
        <f>'库存明细'!E5</f>
        <v/>
      </c>
      <c r="G21" s="10">
        <f>'库存明细'!F5</f>
        <v/>
      </c>
      <c r="H21" s="10">
        <f>'库存明细'!H5</f>
        <v/>
      </c>
      <c r="I21" s="10">
        <f>'库存明细'!I5</f>
        <v/>
      </c>
      <c r="J21" s="11">
        <f>'库存明细'!J5</f>
        <v/>
      </c>
      <c r="K21" s="11">
        <f>'库存明细'!M5</f>
        <v/>
      </c>
      <c r="L21" s="11">
        <f>'库存明细'!N5</f>
        <v/>
      </c>
      <c r="M21" s="10">
        <f>'库存明细'!O5</f>
        <v/>
      </c>
      <c r="N21" s="3" t="n"/>
      <c r="O21" s="3" t="n"/>
      <c r="P21" s="3" t="n"/>
      <c r="Q21" s="3" t="n"/>
      <c r="R21" s="3" t="n"/>
      <c r="S21" s="3" t="n"/>
      <c r="T21" s="3" t="n"/>
      <c r="U21" s="3" t="n"/>
    </row>
    <row r="22" ht="22" customHeight="1">
      <c r="A22" s="3" t="n"/>
      <c r="B22" s="10">
        <f>'库存明细'!A6</f>
        <v/>
      </c>
      <c r="C22" s="10">
        <f>'库存明细'!B6</f>
        <v/>
      </c>
      <c r="D22" s="10">
        <f>'库存明细'!C6</f>
        <v/>
      </c>
      <c r="E22" s="10">
        <f>'库存明细'!D6</f>
        <v/>
      </c>
      <c r="F22" s="10">
        <f>'库存明细'!E6</f>
        <v/>
      </c>
      <c r="G22" s="10">
        <f>'库存明细'!F6</f>
        <v/>
      </c>
      <c r="H22" s="10">
        <f>'库存明细'!H6</f>
        <v/>
      </c>
      <c r="I22" s="10">
        <f>'库存明细'!I6</f>
        <v/>
      </c>
      <c r="J22" s="11">
        <f>'库存明细'!J6</f>
        <v/>
      </c>
      <c r="K22" s="11">
        <f>'库存明细'!M6</f>
        <v/>
      </c>
      <c r="L22" s="11">
        <f>'库存明细'!N6</f>
        <v/>
      </c>
      <c r="M22" s="10">
        <f>'库存明细'!O6</f>
        <v/>
      </c>
      <c r="N22" s="3" t="n"/>
      <c r="O22" s="3" t="n"/>
      <c r="P22" s="3" t="n"/>
      <c r="Q22" s="3" t="n"/>
      <c r="R22" s="3" t="n"/>
      <c r="S22" s="3" t="n"/>
      <c r="T22" s="3" t="n"/>
      <c r="U22" s="3" t="n"/>
    </row>
    <row r="23" ht="22" customHeight="1">
      <c r="A23" s="3" t="n"/>
      <c r="B23" s="10">
        <f>'库存明细'!A7</f>
        <v/>
      </c>
      <c r="C23" s="10">
        <f>'库存明细'!B7</f>
        <v/>
      </c>
      <c r="D23" s="10">
        <f>'库存明细'!C7</f>
        <v/>
      </c>
      <c r="E23" s="10">
        <f>'库存明细'!D7</f>
        <v/>
      </c>
      <c r="F23" s="10">
        <f>'库存明细'!E7</f>
        <v/>
      </c>
      <c r="G23" s="10">
        <f>'库存明细'!F7</f>
        <v/>
      </c>
      <c r="H23" s="10">
        <f>'库存明细'!H7</f>
        <v/>
      </c>
      <c r="I23" s="10">
        <f>'库存明细'!I7</f>
        <v/>
      </c>
      <c r="J23" s="11">
        <f>'库存明细'!J7</f>
        <v/>
      </c>
      <c r="K23" s="11">
        <f>'库存明细'!M7</f>
        <v/>
      </c>
      <c r="L23" s="11">
        <f>'库存明细'!N7</f>
        <v/>
      </c>
      <c r="M23" s="10">
        <f>'库存明细'!O7</f>
        <v/>
      </c>
      <c r="N23" s="3" t="n"/>
      <c r="O23" s="3" t="n"/>
      <c r="P23" s="3" t="n"/>
      <c r="Q23" s="3" t="n"/>
      <c r="R23" s="3" t="n"/>
      <c r="S23" s="3" t="n"/>
      <c r="T23" s="3" t="n"/>
      <c r="U23" s="3" t="n"/>
    </row>
    <row r="24" ht="22" customHeight="1">
      <c r="A24" s="3" t="n"/>
      <c r="B24" s="10">
        <f>'库存明细'!A8</f>
        <v/>
      </c>
      <c r="C24" s="10">
        <f>'库存明细'!B8</f>
        <v/>
      </c>
      <c r="D24" s="10">
        <f>'库存明细'!C8</f>
        <v/>
      </c>
      <c r="E24" s="10">
        <f>'库存明细'!D8</f>
        <v/>
      </c>
      <c r="F24" s="10">
        <f>'库存明细'!E8</f>
        <v/>
      </c>
      <c r="G24" s="10">
        <f>'库存明细'!F8</f>
        <v/>
      </c>
      <c r="H24" s="10">
        <f>'库存明细'!H8</f>
        <v/>
      </c>
      <c r="I24" s="10">
        <f>'库存明细'!I8</f>
        <v/>
      </c>
      <c r="J24" s="11">
        <f>'库存明细'!J8</f>
        <v/>
      </c>
      <c r="K24" s="11">
        <f>'库存明细'!M8</f>
        <v/>
      </c>
      <c r="L24" s="11">
        <f>'库存明细'!N8</f>
        <v/>
      </c>
      <c r="M24" s="10">
        <f>'库存明细'!O8</f>
        <v/>
      </c>
      <c r="N24" s="3" t="n"/>
      <c r="O24" s="3" t="n"/>
      <c r="P24" s="3" t="n"/>
      <c r="Q24" s="3" t="n"/>
      <c r="R24" s="3" t="n"/>
      <c r="S24" s="3" t="n"/>
      <c r="T24" s="3" t="n"/>
      <c r="U24" s="3" t="n"/>
    </row>
    <row r="25" ht="22" customHeight="1">
      <c r="A25" s="3" t="n"/>
      <c r="B25" s="10">
        <f>'库存明细'!A9</f>
        <v/>
      </c>
      <c r="C25" s="10">
        <f>'库存明细'!B9</f>
        <v/>
      </c>
      <c r="D25" s="10">
        <f>'库存明细'!C9</f>
        <v/>
      </c>
      <c r="E25" s="10">
        <f>'库存明细'!D9</f>
        <v/>
      </c>
      <c r="F25" s="10">
        <f>'库存明细'!E9</f>
        <v/>
      </c>
      <c r="G25" s="10">
        <f>'库存明细'!F9</f>
        <v/>
      </c>
      <c r="H25" s="10">
        <f>'库存明细'!H9</f>
        <v/>
      </c>
      <c r="I25" s="10">
        <f>'库存明细'!I9</f>
        <v/>
      </c>
      <c r="J25" s="11">
        <f>'库存明细'!J9</f>
        <v/>
      </c>
      <c r="K25" s="11">
        <f>'库存明细'!M9</f>
        <v/>
      </c>
      <c r="L25" s="11">
        <f>'库存明细'!N9</f>
        <v/>
      </c>
      <c r="M25" s="10">
        <f>'库存明细'!O9</f>
        <v/>
      </c>
      <c r="N25" s="3" t="n"/>
      <c r="O25" s="3" t="n"/>
      <c r="P25" s="3" t="n"/>
      <c r="Q25" s="3" t="n"/>
      <c r="R25" s="3" t="n"/>
      <c r="S25" s="3" t="n"/>
      <c r="T25" s="3" t="n"/>
      <c r="U25" s="3" t="n"/>
    </row>
    <row r="26" ht="22" customHeight="1">
      <c r="A26" s="3" t="n"/>
      <c r="B26" s="10">
        <f>'库存明细'!A10</f>
        <v/>
      </c>
      <c r="C26" s="10">
        <f>'库存明细'!B10</f>
        <v/>
      </c>
      <c r="D26" s="10">
        <f>'库存明细'!C10</f>
        <v/>
      </c>
      <c r="E26" s="10">
        <f>'库存明细'!D10</f>
        <v/>
      </c>
      <c r="F26" s="10">
        <f>'库存明细'!E10</f>
        <v/>
      </c>
      <c r="G26" s="10">
        <f>'库存明细'!F10</f>
        <v/>
      </c>
      <c r="H26" s="10">
        <f>'库存明细'!H10</f>
        <v/>
      </c>
      <c r="I26" s="10">
        <f>'库存明细'!I10</f>
        <v/>
      </c>
      <c r="J26" s="11">
        <f>'库存明细'!J10</f>
        <v/>
      </c>
      <c r="K26" s="11">
        <f>'库存明细'!M10</f>
        <v/>
      </c>
      <c r="L26" s="11">
        <f>'库存明细'!N10</f>
        <v/>
      </c>
      <c r="M26" s="10">
        <f>'库存明细'!O10</f>
        <v/>
      </c>
      <c r="N26" s="3" t="n"/>
      <c r="O26" s="3" t="n"/>
      <c r="P26" s="3" t="n"/>
      <c r="Q26" s="3" t="n"/>
      <c r="R26" s="3" t="n"/>
      <c r="S26" s="3" t="n"/>
      <c r="T26" s="3" t="n"/>
      <c r="U26" s="3" t="n"/>
    </row>
    <row r="27" ht="22" customHeight="1">
      <c r="A27" s="3" t="n"/>
      <c r="B27" s="10">
        <f>'库存明细'!A11</f>
        <v/>
      </c>
      <c r="C27" s="10">
        <f>'库存明细'!B11</f>
        <v/>
      </c>
      <c r="D27" s="10">
        <f>'库存明细'!C11</f>
        <v/>
      </c>
      <c r="E27" s="10">
        <f>'库存明细'!D11</f>
        <v/>
      </c>
      <c r="F27" s="10">
        <f>'库存明细'!E11</f>
        <v/>
      </c>
      <c r="G27" s="10">
        <f>'库存明细'!F11</f>
        <v/>
      </c>
      <c r="H27" s="10">
        <f>'库存明细'!H11</f>
        <v/>
      </c>
      <c r="I27" s="10">
        <f>'库存明细'!I11</f>
        <v/>
      </c>
      <c r="J27" s="11">
        <f>'库存明细'!J11</f>
        <v/>
      </c>
      <c r="K27" s="11">
        <f>'库存明细'!M11</f>
        <v/>
      </c>
      <c r="L27" s="11">
        <f>'库存明细'!N11</f>
        <v/>
      </c>
      <c r="M27" s="10">
        <f>'库存明细'!O11</f>
        <v/>
      </c>
      <c r="N27" s="3" t="n"/>
      <c r="O27" s="3" t="n"/>
      <c r="P27" s="3" t="n"/>
      <c r="Q27" s="3" t="n"/>
      <c r="R27" s="3" t="n"/>
      <c r="S27" s="3" t="n"/>
      <c r="T27" s="3" t="n"/>
      <c r="U27" s="3" t="n"/>
    </row>
    <row r="28" ht="22" customHeight="1">
      <c r="A28" s="3" t="n"/>
      <c r="B28" s="10">
        <f>'库存明细'!A12</f>
        <v/>
      </c>
      <c r="C28" s="10">
        <f>'库存明细'!B12</f>
        <v/>
      </c>
      <c r="D28" s="10">
        <f>'库存明细'!C12</f>
        <v/>
      </c>
      <c r="E28" s="10">
        <f>'库存明细'!D12</f>
        <v/>
      </c>
      <c r="F28" s="10">
        <f>'库存明细'!E12</f>
        <v/>
      </c>
      <c r="G28" s="10">
        <f>'库存明细'!F12</f>
        <v/>
      </c>
      <c r="H28" s="10">
        <f>'库存明细'!H12</f>
        <v/>
      </c>
      <c r="I28" s="10">
        <f>'库存明细'!I12</f>
        <v/>
      </c>
      <c r="J28" s="11">
        <f>'库存明细'!J12</f>
        <v/>
      </c>
      <c r="K28" s="11">
        <f>'库存明细'!M12</f>
        <v/>
      </c>
      <c r="L28" s="11">
        <f>'库存明细'!N12</f>
        <v/>
      </c>
      <c r="M28" s="10">
        <f>'库存明细'!O12</f>
        <v/>
      </c>
      <c r="N28" s="3" t="n"/>
      <c r="O28" s="3" t="n"/>
      <c r="P28" s="3" t="n"/>
      <c r="Q28" s="3" t="n"/>
      <c r="R28" s="3" t="n"/>
      <c r="S28" s="3" t="n"/>
      <c r="T28" s="3" t="n"/>
      <c r="U28" s="3" t="n"/>
    </row>
    <row r="29" ht="22" customHeight="1">
      <c r="A29" s="3" t="n"/>
      <c r="B29" s="10">
        <f>'库存明细'!A13</f>
        <v/>
      </c>
      <c r="C29" s="10">
        <f>'库存明细'!B13</f>
        <v/>
      </c>
      <c r="D29" s="10">
        <f>'库存明细'!C13</f>
        <v/>
      </c>
      <c r="E29" s="10">
        <f>'库存明细'!D13</f>
        <v/>
      </c>
      <c r="F29" s="10">
        <f>'库存明细'!E13</f>
        <v/>
      </c>
      <c r="G29" s="10">
        <f>'库存明细'!F13</f>
        <v/>
      </c>
      <c r="H29" s="10">
        <f>'库存明细'!H13</f>
        <v/>
      </c>
      <c r="I29" s="10">
        <f>'库存明细'!I13</f>
        <v/>
      </c>
      <c r="J29" s="11">
        <f>'库存明细'!J13</f>
        <v/>
      </c>
      <c r="K29" s="11">
        <f>'库存明细'!M13</f>
        <v/>
      </c>
      <c r="L29" s="11">
        <f>'库存明细'!N13</f>
        <v/>
      </c>
      <c r="M29" s="10">
        <f>'库存明细'!O13</f>
        <v/>
      </c>
      <c r="N29" s="3" t="n"/>
      <c r="O29" s="3" t="n"/>
      <c r="P29" s="3" t="n"/>
      <c r="Q29" s="3" t="n"/>
      <c r="R29" s="3" t="n"/>
      <c r="S29" s="3" t="n"/>
      <c r="T29" s="3" t="n"/>
      <c r="U29" s="3" t="n"/>
    </row>
    <row r="30" ht="22" customHeight="1">
      <c r="A30" s="3" t="n"/>
      <c r="B30" s="10">
        <f>'库存明细'!A14</f>
        <v/>
      </c>
      <c r="C30" s="10">
        <f>'库存明细'!B14</f>
        <v/>
      </c>
      <c r="D30" s="10">
        <f>'库存明细'!C14</f>
        <v/>
      </c>
      <c r="E30" s="10">
        <f>'库存明细'!D14</f>
        <v/>
      </c>
      <c r="F30" s="10">
        <f>'库存明细'!E14</f>
        <v/>
      </c>
      <c r="G30" s="10">
        <f>'库存明细'!F14</f>
        <v/>
      </c>
      <c r="H30" s="10">
        <f>'库存明细'!H14</f>
        <v/>
      </c>
      <c r="I30" s="10">
        <f>'库存明细'!I14</f>
        <v/>
      </c>
      <c r="J30" s="11">
        <f>'库存明细'!J14</f>
        <v/>
      </c>
      <c r="K30" s="11">
        <f>'库存明细'!M14</f>
        <v/>
      </c>
      <c r="L30" s="11">
        <f>'库存明细'!N14</f>
        <v/>
      </c>
      <c r="M30" s="10">
        <f>'库存明细'!O14</f>
        <v/>
      </c>
      <c r="N30" s="3" t="n"/>
      <c r="O30" s="3" t="n"/>
      <c r="P30" s="3" t="n"/>
      <c r="Q30" s="3" t="n"/>
      <c r="R30" s="3" t="n"/>
      <c r="S30" s="3" t="n"/>
      <c r="T30" s="3" t="n"/>
      <c r="U30" s="3" t="n"/>
    </row>
    <row r="31" ht="22" customHeight="1">
      <c r="A31" s="3" t="n"/>
      <c r="B31" s="10">
        <f>'库存明细'!A15</f>
        <v/>
      </c>
      <c r="C31" s="10">
        <f>'库存明细'!B15</f>
        <v/>
      </c>
      <c r="D31" s="10">
        <f>'库存明细'!C15</f>
        <v/>
      </c>
      <c r="E31" s="10">
        <f>'库存明细'!D15</f>
        <v/>
      </c>
      <c r="F31" s="10">
        <f>'库存明细'!E15</f>
        <v/>
      </c>
      <c r="G31" s="10">
        <f>'库存明细'!F15</f>
        <v/>
      </c>
      <c r="H31" s="10">
        <f>'库存明细'!H15</f>
        <v/>
      </c>
      <c r="I31" s="10">
        <f>'库存明细'!I15</f>
        <v/>
      </c>
      <c r="J31" s="11">
        <f>'库存明细'!J15</f>
        <v/>
      </c>
      <c r="K31" s="11">
        <f>'库存明细'!M15</f>
        <v/>
      </c>
      <c r="L31" s="11">
        <f>'库存明细'!N15</f>
        <v/>
      </c>
      <c r="M31" s="10">
        <f>'库存明细'!O15</f>
        <v/>
      </c>
      <c r="N31" s="3" t="n"/>
      <c r="O31" s="3" t="n"/>
      <c r="P31" s="3" t="n"/>
      <c r="Q31" s="3" t="n"/>
      <c r="R31" s="3" t="n"/>
      <c r="S31" s="3" t="n"/>
      <c r="T31" s="3" t="n"/>
      <c r="U31" s="3" t="n"/>
    </row>
    <row r="32" ht="22" customHeight="1">
      <c r="A32" s="3" t="n"/>
      <c r="B32" s="10">
        <f>'库存明细'!A16</f>
        <v/>
      </c>
      <c r="C32" s="10">
        <f>'库存明细'!B16</f>
        <v/>
      </c>
      <c r="D32" s="10">
        <f>'库存明细'!C16</f>
        <v/>
      </c>
      <c r="E32" s="10">
        <f>'库存明细'!D16</f>
        <v/>
      </c>
      <c r="F32" s="10">
        <f>'库存明细'!E16</f>
        <v/>
      </c>
      <c r="G32" s="10">
        <f>'库存明细'!F16</f>
        <v/>
      </c>
      <c r="H32" s="10">
        <f>'库存明细'!H16</f>
        <v/>
      </c>
      <c r="I32" s="10">
        <f>'库存明细'!I16</f>
        <v/>
      </c>
      <c r="J32" s="11">
        <f>'库存明细'!J16</f>
        <v/>
      </c>
      <c r="K32" s="11">
        <f>'库存明细'!M16</f>
        <v/>
      </c>
      <c r="L32" s="11">
        <f>'库存明细'!N16</f>
        <v/>
      </c>
      <c r="M32" s="10">
        <f>'库存明细'!O16</f>
        <v/>
      </c>
      <c r="N32" s="3" t="n"/>
      <c r="O32" s="3" t="n"/>
      <c r="P32" s="3" t="n"/>
      <c r="Q32" s="3" t="n"/>
      <c r="R32" s="3" t="n"/>
      <c r="S32" s="3" t="n"/>
      <c r="T32" s="3" t="n"/>
      <c r="U32" s="3" t="n"/>
    </row>
    <row r="33" ht="22" customHeight="1">
      <c r="A33" s="3" t="n"/>
      <c r="B33" s="10">
        <f>'库存明细'!A17</f>
        <v/>
      </c>
      <c r="C33" s="10">
        <f>'库存明细'!B17</f>
        <v/>
      </c>
      <c r="D33" s="10">
        <f>'库存明细'!C17</f>
        <v/>
      </c>
      <c r="E33" s="10">
        <f>'库存明细'!D17</f>
        <v/>
      </c>
      <c r="F33" s="10">
        <f>'库存明细'!E17</f>
        <v/>
      </c>
      <c r="G33" s="10">
        <f>'库存明细'!F17</f>
        <v/>
      </c>
      <c r="H33" s="10">
        <f>'库存明细'!H17</f>
        <v/>
      </c>
      <c r="I33" s="10">
        <f>'库存明细'!I17</f>
        <v/>
      </c>
      <c r="J33" s="11">
        <f>'库存明细'!J17</f>
        <v/>
      </c>
      <c r="K33" s="11">
        <f>'库存明细'!M17</f>
        <v/>
      </c>
      <c r="L33" s="11">
        <f>'库存明细'!N17</f>
        <v/>
      </c>
      <c r="M33" s="10">
        <f>'库存明细'!O17</f>
        <v/>
      </c>
      <c r="N33" s="3" t="n"/>
      <c r="O33" s="3" t="n"/>
      <c r="P33" s="3" t="n"/>
      <c r="Q33" s="3" t="n"/>
      <c r="R33" s="3" t="n"/>
      <c r="S33" s="3" t="n"/>
      <c r="T33" s="3" t="n"/>
      <c r="U33" s="3" t="n"/>
    </row>
    <row r="34" ht="22" customHeight="1">
      <c r="A34" s="3" t="n"/>
      <c r="B34" s="10">
        <f>'库存明细'!A18</f>
        <v/>
      </c>
      <c r="C34" s="10">
        <f>'库存明细'!B18</f>
        <v/>
      </c>
      <c r="D34" s="10">
        <f>'库存明细'!C18</f>
        <v/>
      </c>
      <c r="E34" s="10">
        <f>'库存明细'!D18</f>
        <v/>
      </c>
      <c r="F34" s="10">
        <f>'库存明细'!E18</f>
        <v/>
      </c>
      <c r="G34" s="10">
        <f>'库存明细'!F18</f>
        <v/>
      </c>
      <c r="H34" s="10">
        <f>'库存明细'!H18</f>
        <v/>
      </c>
      <c r="I34" s="10">
        <f>'库存明细'!I18</f>
        <v/>
      </c>
      <c r="J34" s="11">
        <f>'库存明细'!J18</f>
        <v/>
      </c>
      <c r="K34" s="11">
        <f>'库存明细'!M18</f>
        <v/>
      </c>
      <c r="L34" s="11">
        <f>'库存明细'!N18</f>
        <v/>
      </c>
      <c r="M34" s="10">
        <f>'库存明细'!O18</f>
        <v/>
      </c>
      <c r="N34" s="3" t="n"/>
      <c r="O34" s="3" t="n"/>
      <c r="P34" s="3" t="n"/>
      <c r="Q34" s="3" t="n"/>
      <c r="R34" s="3" t="n"/>
      <c r="S34" s="3" t="n"/>
      <c r="T34" s="3" t="n"/>
      <c r="U34" s="3" t="n"/>
    </row>
    <row r="35" ht="22" customHeight="1">
      <c r="A35" s="3" t="n"/>
      <c r="B35" s="10">
        <f>'库存明细'!A19</f>
        <v/>
      </c>
      <c r="C35" s="10">
        <f>'库存明细'!B19</f>
        <v/>
      </c>
      <c r="D35" s="10">
        <f>'库存明细'!C19</f>
        <v/>
      </c>
      <c r="E35" s="10">
        <f>'库存明细'!D19</f>
        <v/>
      </c>
      <c r="F35" s="10">
        <f>'库存明细'!E19</f>
        <v/>
      </c>
      <c r="G35" s="10">
        <f>'库存明细'!F19</f>
        <v/>
      </c>
      <c r="H35" s="10">
        <f>'库存明细'!H19</f>
        <v/>
      </c>
      <c r="I35" s="10">
        <f>'库存明细'!I19</f>
        <v/>
      </c>
      <c r="J35" s="11">
        <f>'库存明细'!J19</f>
        <v/>
      </c>
      <c r="K35" s="11">
        <f>'库存明细'!M19</f>
        <v/>
      </c>
      <c r="L35" s="11">
        <f>'库存明细'!N19</f>
        <v/>
      </c>
      <c r="M35" s="10">
        <f>'库存明细'!O19</f>
        <v/>
      </c>
      <c r="N35" s="3" t="n"/>
      <c r="O35" s="3" t="n"/>
      <c r="P35" s="3" t="n"/>
      <c r="Q35" s="3" t="n"/>
      <c r="R35" s="3" t="n"/>
      <c r="S35" s="3" t="n"/>
      <c r="T35" s="3" t="n"/>
      <c r="U35" s="3" t="n"/>
    </row>
    <row r="36" ht="22" customHeight="1">
      <c r="A36" s="3" t="n"/>
      <c r="B36" s="10">
        <f>'库存明细'!A20</f>
        <v/>
      </c>
      <c r="C36" s="10">
        <f>'库存明细'!B20</f>
        <v/>
      </c>
      <c r="D36" s="10">
        <f>'库存明细'!C20</f>
        <v/>
      </c>
      <c r="E36" s="10">
        <f>'库存明细'!D20</f>
        <v/>
      </c>
      <c r="F36" s="10">
        <f>'库存明细'!E20</f>
        <v/>
      </c>
      <c r="G36" s="10">
        <f>'库存明细'!F20</f>
        <v/>
      </c>
      <c r="H36" s="10">
        <f>'库存明细'!H20</f>
        <v/>
      </c>
      <c r="I36" s="10">
        <f>'库存明细'!I20</f>
        <v/>
      </c>
      <c r="J36" s="11">
        <f>'库存明细'!J20</f>
        <v/>
      </c>
      <c r="K36" s="11">
        <f>'库存明细'!M20</f>
        <v/>
      </c>
      <c r="L36" s="11">
        <f>'库存明细'!N20</f>
        <v/>
      </c>
      <c r="M36" s="10">
        <f>'库存明细'!O20</f>
        <v/>
      </c>
      <c r="N36" s="3" t="n"/>
      <c r="O36" s="3" t="n"/>
      <c r="P36" s="3" t="n"/>
      <c r="Q36" s="3" t="n"/>
      <c r="R36" s="3" t="n"/>
      <c r="S36" s="3" t="n"/>
      <c r="T36" s="3" t="n"/>
      <c r="U36" s="3" t="n"/>
    </row>
    <row r="37" ht="22" customHeight="1">
      <c r="A37" s="3" t="n"/>
      <c r="B37" s="10">
        <f>'库存明细'!A21</f>
        <v/>
      </c>
      <c r="C37" s="10">
        <f>'库存明细'!B21</f>
        <v/>
      </c>
      <c r="D37" s="10">
        <f>'库存明细'!C21</f>
        <v/>
      </c>
      <c r="E37" s="10">
        <f>'库存明细'!D21</f>
        <v/>
      </c>
      <c r="F37" s="10">
        <f>'库存明细'!E21</f>
        <v/>
      </c>
      <c r="G37" s="10">
        <f>'库存明细'!F21</f>
        <v/>
      </c>
      <c r="H37" s="10">
        <f>'库存明细'!H21</f>
        <v/>
      </c>
      <c r="I37" s="10">
        <f>'库存明细'!I21</f>
        <v/>
      </c>
      <c r="J37" s="11">
        <f>'库存明细'!J21</f>
        <v/>
      </c>
      <c r="K37" s="11">
        <f>'库存明细'!M21</f>
        <v/>
      </c>
      <c r="L37" s="11">
        <f>'库存明细'!N21</f>
        <v/>
      </c>
      <c r="M37" s="10">
        <f>'库存明细'!O21</f>
        <v/>
      </c>
      <c r="N37" s="3" t="n"/>
      <c r="O37" s="3" t="n"/>
      <c r="P37" s="3" t="n"/>
      <c r="Q37" s="3" t="n"/>
      <c r="R37" s="3" t="n"/>
      <c r="S37" s="3" t="n"/>
      <c r="T37" s="3" t="n"/>
      <c r="U37" s="3" t="n"/>
    </row>
    <row r="38" ht="22" customHeight="1">
      <c r="A38" s="3" t="n"/>
      <c r="B38" s="10">
        <f>'库存明细'!A22</f>
        <v/>
      </c>
      <c r="C38" s="10">
        <f>'库存明细'!B22</f>
        <v/>
      </c>
      <c r="D38" s="10">
        <f>'库存明细'!C22</f>
        <v/>
      </c>
      <c r="E38" s="10">
        <f>'库存明细'!D22</f>
        <v/>
      </c>
      <c r="F38" s="10">
        <f>'库存明细'!E22</f>
        <v/>
      </c>
      <c r="G38" s="10">
        <f>'库存明细'!F22</f>
        <v/>
      </c>
      <c r="H38" s="10">
        <f>'库存明细'!H22</f>
        <v/>
      </c>
      <c r="I38" s="10">
        <f>'库存明细'!I22</f>
        <v/>
      </c>
      <c r="J38" s="11">
        <f>'库存明细'!J22</f>
        <v/>
      </c>
      <c r="K38" s="11">
        <f>'库存明细'!M22</f>
        <v/>
      </c>
      <c r="L38" s="11">
        <f>'库存明细'!N22</f>
        <v/>
      </c>
      <c r="M38" s="10">
        <f>'库存明细'!O22</f>
        <v/>
      </c>
      <c r="N38" s="3" t="n"/>
      <c r="O38" s="3" t="n"/>
      <c r="P38" s="3" t="n"/>
      <c r="Q38" s="3" t="n"/>
      <c r="R38" s="3" t="n"/>
      <c r="S38" s="3" t="n"/>
      <c r="T38" s="3" t="n"/>
      <c r="U38" s="3" t="n"/>
    </row>
    <row r="39" ht="22" customHeight="1">
      <c r="A39" s="3" t="n"/>
      <c r="B39" s="10">
        <f>'库存明细'!A23</f>
        <v/>
      </c>
      <c r="C39" s="10">
        <f>'库存明细'!B23</f>
        <v/>
      </c>
      <c r="D39" s="10">
        <f>'库存明细'!C23</f>
        <v/>
      </c>
      <c r="E39" s="10">
        <f>'库存明细'!D23</f>
        <v/>
      </c>
      <c r="F39" s="10">
        <f>'库存明细'!E23</f>
        <v/>
      </c>
      <c r="G39" s="10">
        <f>'库存明细'!F23</f>
        <v/>
      </c>
      <c r="H39" s="10">
        <f>'库存明细'!H23</f>
        <v/>
      </c>
      <c r="I39" s="10">
        <f>'库存明细'!I23</f>
        <v/>
      </c>
      <c r="J39" s="11">
        <f>'库存明细'!J23</f>
        <v/>
      </c>
      <c r="K39" s="11">
        <f>'库存明细'!M23</f>
        <v/>
      </c>
      <c r="L39" s="11">
        <f>'库存明细'!N23</f>
        <v/>
      </c>
      <c r="M39" s="10">
        <f>'库存明细'!O23</f>
        <v/>
      </c>
      <c r="N39" s="3" t="n"/>
      <c r="O39" s="3" t="n"/>
      <c r="P39" s="3" t="n"/>
      <c r="Q39" s="3" t="n"/>
      <c r="R39" s="3" t="n"/>
      <c r="S39" s="3" t="n"/>
      <c r="T39" s="3" t="n"/>
      <c r="U39" s="3" t="n"/>
    </row>
    <row r="40" ht="22" customHeight="1">
      <c r="A40" s="3" t="n"/>
      <c r="B40" s="10">
        <f>'库存明细'!A24</f>
        <v/>
      </c>
      <c r="C40" s="10">
        <f>'库存明细'!B24</f>
        <v/>
      </c>
      <c r="D40" s="10">
        <f>'库存明细'!C24</f>
        <v/>
      </c>
      <c r="E40" s="10">
        <f>'库存明细'!D24</f>
        <v/>
      </c>
      <c r="F40" s="10">
        <f>'库存明细'!E24</f>
        <v/>
      </c>
      <c r="G40" s="10">
        <f>'库存明细'!F24</f>
        <v/>
      </c>
      <c r="H40" s="10">
        <f>'库存明细'!H24</f>
        <v/>
      </c>
      <c r="I40" s="10">
        <f>'库存明细'!I24</f>
        <v/>
      </c>
      <c r="J40" s="11">
        <f>'库存明细'!J24</f>
        <v/>
      </c>
      <c r="K40" s="11">
        <f>'库存明细'!M24</f>
        <v/>
      </c>
      <c r="L40" s="11">
        <f>'库存明细'!N24</f>
        <v/>
      </c>
      <c r="M40" s="10">
        <f>'库存明细'!O24</f>
        <v/>
      </c>
      <c r="N40" s="3" t="n"/>
      <c r="O40" s="3" t="n"/>
      <c r="P40" s="3" t="n"/>
      <c r="Q40" s="3" t="n"/>
      <c r="R40" s="3" t="n"/>
      <c r="S40" s="3" t="n"/>
      <c r="T40" s="3" t="n"/>
      <c r="U40" s="3" t="n"/>
    </row>
    <row r="41" ht="22" customHeight="1">
      <c r="A41" s="3" t="n"/>
      <c r="B41" s="10">
        <f>'库存明细'!A25</f>
        <v/>
      </c>
      <c r="C41" s="10">
        <f>'库存明细'!B25</f>
        <v/>
      </c>
      <c r="D41" s="10">
        <f>'库存明细'!C25</f>
        <v/>
      </c>
      <c r="E41" s="10">
        <f>'库存明细'!D25</f>
        <v/>
      </c>
      <c r="F41" s="10">
        <f>'库存明细'!E25</f>
        <v/>
      </c>
      <c r="G41" s="10">
        <f>'库存明细'!F25</f>
        <v/>
      </c>
      <c r="H41" s="10">
        <f>'库存明细'!H25</f>
        <v/>
      </c>
      <c r="I41" s="10">
        <f>'库存明细'!I25</f>
        <v/>
      </c>
      <c r="J41" s="11">
        <f>'库存明细'!J25</f>
        <v/>
      </c>
      <c r="K41" s="11">
        <f>'库存明细'!M25</f>
        <v/>
      </c>
      <c r="L41" s="11">
        <f>'库存明细'!N25</f>
        <v/>
      </c>
      <c r="M41" s="10">
        <f>'库存明细'!O25</f>
        <v/>
      </c>
      <c r="N41" s="3" t="n"/>
      <c r="O41" s="3" t="n"/>
      <c r="P41" s="3" t="n"/>
      <c r="Q41" s="3" t="n"/>
      <c r="R41" s="3" t="n"/>
      <c r="S41" s="3" t="n"/>
      <c r="T41" s="3" t="n"/>
      <c r="U41" s="3" t="n"/>
    </row>
    <row r="42" ht="22" customHeight="1">
      <c r="A42" s="3" t="n"/>
      <c r="B42" s="10">
        <f>'库存明细'!A26</f>
        <v/>
      </c>
      <c r="C42" s="10">
        <f>'库存明细'!B26</f>
        <v/>
      </c>
      <c r="D42" s="10">
        <f>'库存明细'!C26</f>
        <v/>
      </c>
      <c r="E42" s="10">
        <f>'库存明细'!D26</f>
        <v/>
      </c>
      <c r="F42" s="10">
        <f>'库存明细'!E26</f>
        <v/>
      </c>
      <c r="G42" s="10">
        <f>'库存明细'!F26</f>
        <v/>
      </c>
      <c r="H42" s="10">
        <f>'库存明细'!H26</f>
        <v/>
      </c>
      <c r="I42" s="10">
        <f>'库存明细'!I26</f>
        <v/>
      </c>
      <c r="J42" s="11">
        <f>'库存明细'!J26</f>
        <v/>
      </c>
      <c r="K42" s="11">
        <f>'库存明细'!M26</f>
        <v/>
      </c>
      <c r="L42" s="11">
        <f>'库存明细'!N26</f>
        <v/>
      </c>
      <c r="M42" s="10">
        <f>'库存明细'!O26</f>
        <v/>
      </c>
      <c r="N42" s="3" t="n"/>
      <c r="O42" s="3" t="n"/>
      <c r="P42" s="3" t="n"/>
      <c r="Q42" s="3" t="n"/>
      <c r="R42" s="3" t="n"/>
      <c r="S42" s="3" t="n"/>
      <c r="T42" s="3" t="n"/>
      <c r="U42" s="3" t="n"/>
    </row>
    <row r="43" ht="22" customHeight="1">
      <c r="A43" s="3" t="n"/>
      <c r="B43" s="10">
        <f>'库存明细'!A27</f>
        <v/>
      </c>
      <c r="C43" s="10">
        <f>'库存明细'!B27</f>
        <v/>
      </c>
      <c r="D43" s="10">
        <f>'库存明细'!C27</f>
        <v/>
      </c>
      <c r="E43" s="10">
        <f>'库存明细'!D27</f>
        <v/>
      </c>
      <c r="F43" s="10">
        <f>'库存明细'!E27</f>
        <v/>
      </c>
      <c r="G43" s="10">
        <f>'库存明细'!F27</f>
        <v/>
      </c>
      <c r="H43" s="10">
        <f>'库存明细'!H27</f>
        <v/>
      </c>
      <c r="I43" s="10">
        <f>'库存明细'!I27</f>
        <v/>
      </c>
      <c r="J43" s="11">
        <f>'库存明细'!J27</f>
        <v/>
      </c>
      <c r="K43" s="11">
        <f>'库存明细'!M27</f>
        <v/>
      </c>
      <c r="L43" s="11">
        <f>'库存明细'!N27</f>
        <v/>
      </c>
      <c r="M43" s="10">
        <f>'库存明细'!O27</f>
        <v/>
      </c>
      <c r="N43" s="3" t="n"/>
      <c r="O43" s="3" t="n"/>
      <c r="P43" s="3" t="n"/>
      <c r="Q43" s="3" t="n"/>
      <c r="R43" s="3" t="n"/>
      <c r="S43" s="3" t="n"/>
      <c r="T43" s="3" t="n"/>
      <c r="U43" s="3" t="n"/>
    </row>
    <row r="44" ht="22" customHeight="1">
      <c r="A44" s="3" t="n"/>
      <c r="B44" s="10">
        <f>'库存明细'!A28</f>
        <v/>
      </c>
      <c r="C44" s="10">
        <f>'库存明细'!B28</f>
        <v/>
      </c>
      <c r="D44" s="10">
        <f>'库存明细'!C28</f>
        <v/>
      </c>
      <c r="E44" s="10">
        <f>'库存明细'!D28</f>
        <v/>
      </c>
      <c r="F44" s="10">
        <f>'库存明细'!E28</f>
        <v/>
      </c>
      <c r="G44" s="10">
        <f>'库存明细'!F28</f>
        <v/>
      </c>
      <c r="H44" s="10">
        <f>'库存明细'!H28</f>
        <v/>
      </c>
      <c r="I44" s="10">
        <f>'库存明细'!I28</f>
        <v/>
      </c>
      <c r="J44" s="11">
        <f>'库存明细'!J28</f>
        <v/>
      </c>
      <c r="K44" s="11">
        <f>'库存明细'!M28</f>
        <v/>
      </c>
      <c r="L44" s="11">
        <f>'库存明细'!N28</f>
        <v/>
      </c>
      <c r="M44" s="10">
        <f>'库存明细'!O28</f>
        <v/>
      </c>
      <c r="N44" s="3" t="n"/>
      <c r="O44" s="3" t="n"/>
      <c r="P44" s="3" t="n"/>
      <c r="Q44" s="3" t="n"/>
      <c r="R44" s="3" t="n"/>
      <c r="S44" s="3" t="n"/>
      <c r="T44" s="3" t="n"/>
      <c r="U44" s="3" t="n"/>
    </row>
    <row r="45" ht="22" customHeight="1">
      <c r="A45" s="3" t="n"/>
      <c r="B45" s="10">
        <f>'库存明细'!A29</f>
        <v/>
      </c>
      <c r="C45" s="10">
        <f>'库存明细'!B29</f>
        <v/>
      </c>
      <c r="D45" s="10">
        <f>'库存明细'!C29</f>
        <v/>
      </c>
      <c r="E45" s="10">
        <f>'库存明细'!D29</f>
        <v/>
      </c>
      <c r="F45" s="10">
        <f>'库存明细'!E29</f>
        <v/>
      </c>
      <c r="G45" s="10">
        <f>'库存明细'!F29</f>
        <v/>
      </c>
      <c r="H45" s="10">
        <f>'库存明细'!H29</f>
        <v/>
      </c>
      <c r="I45" s="10">
        <f>'库存明细'!I29</f>
        <v/>
      </c>
      <c r="J45" s="11">
        <f>'库存明细'!J29</f>
        <v/>
      </c>
      <c r="K45" s="11">
        <f>'库存明细'!M29</f>
        <v/>
      </c>
      <c r="L45" s="11">
        <f>'库存明细'!N29</f>
        <v/>
      </c>
      <c r="M45" s="10">
        <f>'库存明细'!O29</f>
        <v/>
      </c>
      <c r="N45" s="3" t="n"/>
      <c r="O45" s="3" t="n"/>
      <c r="P45" s="3" t="n"/>
      <c r="Q45" s="3" t="n"/>
      <c r="R45" s="3" t="n"/>
      <c r="S45" s="3" t="n"/>
      <c r="T45" s="3" t="n"/>
      <c r="U45" s="3" t="n"/>
    </row>
    <row r="46" ht="22" customHeight="1">
      <c r="A46" s="3" t="n"/>
      <c r="B46" s="3">
        <f>'库存明细'!A30</f>
        <v/>
      </c>
      <c r="C46" s="3">
        <f>'库存明细'!B30</f>
        <v/>
      </c>
      <c r="D46" s="3">
        <f>'库存明细'!C30</f>
        <v/>
      </c>
      <c r="E46" s="3">
        <f>'库存明细'!D30</f>
        <v/>
      </c>
      <c r="F46" s="3">
        <f>'库存明细'!E30</f>
        <v/>
      </c>
      <c r="G46" s="3">
        <f>'库存明细'!F30</f>
        <v/>
      </c>
      <c r="H46" s="3">
        <f>'库存明细'!H30</f>
        <v/>
      </c>
      <c r="I46" s="3">
        <f>'库存明细'!I30</f>
        <v/>
      </c>
      <c r="J46" s="3">
        <f>'库存明细'!J30</f>
        <v/>
      </c>
      <c r="K46" s="3">
        <f>'库存明细'!M30</f>
        <v/>
      </c>
      <c r="L46" s="3">
        <f>'库存明细'!N30</f>
        <v/>
      </c>
      <c r="M46" s="3">
        <f>'库存明细'!O30</f>
        <v/>
      </c>
      <c r="N46" s="3" t="n"/>
      <c r="O46" s="3" t="n"/>
      <c r="P46" s="3" t="n"/>
      <c r="Q46" s="3" t="n"/>
      <c r="R46" s="3" t="n"/>
      <c r="S46" s="3" t="n"/>
      <c r="T46" s="3" t="n"/>
      <c r="U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</sheetData>
  <mergeCells count="4">
    <mergeCell ref="B15:J15"/>
    <mergeCell ref="A1:U1"/>
    <mergeCell ref="B5:J5"/>
    <mergeCell ref="A2:U2"/>
  </mergeCells>
  <conditionalFormatting sqref="G7:G12">
    <cfRule type="cellIs" priority="1" operator="greaterThan" dxfId="0">
      <formula>60</formula>
    </cfRule>
    <cfRule type="iconSet" priority="2">
      <iconSet iconSet="3TrafficLights1" showValue="1">
        <cfvo type="num" val="30"/>
        <cfvo type="num" val="60"/>
        <cfvo type="num" val="120"/>
      </iconSet>
    </cfRule>
  </conditionalFormatting>
  <dataValidations count="3">
    <dataValidation sqref="F3" showDropDown="0" showInputMessage="0" showErrorMessage="0" allowBlank="0" type="list">
      <formula1>"全部,大润发,盒马,华润,沃尔玛,永辉,天虹,比优特,家得福"</formula1>
    </dataValidation>
    <dataValidation sqref="I3" showDropDown="0" showInputMessage="0" showErrorMessage="0" allowBlank="0" type="list">
      <formula1>"全部,华东,华南,华北,华中,西北,东北"</formula1>
    </dataValidation>
    <dataValidation sqref="L3" showDropDown="0" showInputMessage="0" showErrorMessage="0" allowBlank="0" type="list">
      <formula1>"全部,上海,江苏,广东,北京,湖北,浙江,黑龙江,天津"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2" customHeight="1">
      <c r="A1" s="1" t="inlineStr">
        <is>
          <t>超60天门店排名</t>
        </is>
      </c>
    </row>
    <row r="2" ht="22" customHeight="1">
      <c r="A2" s="2" t="inlineStr">
        <is>
          <t>关键词：各大区、库存周转天数超60天、门店数排名。</t>
        </is>
      </c>
    </row>
    <row r="3" ht="22" customHeight="1">
      <c r="A3" s="3" t="n"/>
      <c r="B3" s="4" t="inlineStr">
        <is>
          <t>统计日期</t>
        </is>
      </c>
      <c r="C3" s="5">
        <f>MAX('销售明细'!A2:A500)</f>
        <v/>
      </c>
      <c r="D3" s="3" t="n"/>
      <c r="E3" s="4" t="inlineStr">
        <is>
          <t>KA系统</t>
        </is>
      </c>
      <c r="F3" s="6" t="inlineStr">
        <is>
          <t>全部</t>
        </is>
      </c>
      <c r="G3" s="3" t="n"/>
      <c r="H3" s="4" t="inlineStr">
        <is>
          <t>大区</t>
        </is>
      </c>
      <c r="I3" s="6" t="inlineStr">
        <is>
          <t>全部</t>
        </is>
      </c>
      <c r="J3" s="3" t="n"/>
      <c r="K3" s="4" t="inlineStr">
        <is>
          <t>省份</t>
        </is>
      </c>
      <c r="L3" s="6" t="inlineStr">
        <is>
          <t>全部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22" customHeight="1">
      <c r="A5" s="3" t="n"/>
      <c r="B5" s="7" t="inlineStr">
        <is>
          <t>汇总：各大区库存周转天数超60天门店数排名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 ht="22" customHeight="1">
      <c r="A6" s="3" t="n"/>
      <c r="B6" s="9" t="inlineStr">
        <is>
          <t>排名</t>
        </is>
      </c>
      <c r="C6" s="9" t="inlineStr">
        <is>
          <t>大区</t>
        </is>
      </c>
      <c r="D6" s="9" t="inlineStr">
        <is>
          <t>超60天门店数</t>
        </is>
      </c>
      <c r="E6" s="9" t="inlineStr">
        <is>
          <t>门店库存</t>
        </is>
      </c>
      <c r="F6" s="9" t="inlineStr">
        <is>
          <t>近7日平均销量</t>
        </is>
      </c>
      <c r="G6" s="9" t="inlineStr">
        <is>
          <t>平均周转天数</t>
        </is>
      </c>
      <c r="H6" s="9" t="inlineStr">
        <is>
          <t>主要风险单品</t>
        </is>
      </c>
      <c r="I6" s="9" t="inlineStr">
        <is>
          <t>处理建议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ht="22" customHeight="1">
      <c r="A7" s="3" t="n"/>
      <c r="B7" s="10" t="n">
        <v>1</v>
      </c>
      <c r="C7" s="10">
        <f>IFERROR(INDEX($L$20:$L$24,MATCH(LARGE($M$20:$M$24,B7),$M$20:$M$24,0)),"")</f>
        <v/>
      </c>
      <c r="D7" s="11">
        <f>IFERROR(INDEX($M$20:$M$24,MATCH(C7,$L$20:$L$24,0)),0)</f>
        <v/>
      </c>
      <c r="E7" s="11">
        <f>IFERROR(INDEX($N$20:$N$24,MATCH(C7,$L$20:$L$24,0)),0)</f>
        <v/>
      </c>
      <c r="F7" s="11">
        <f>IFERROR(INDEX($O$20:$O$24,MATCH(C7,$L$20:$L$24,0)),0)</f>
        <v/>
      </c>
      <c r="G7" s="11">
        <f>IFERROR(INDEX($P$20:$P$24,MATCH(C7,$L$20:$L$24,0)),"")</f>
        <v/>
      </c>
      <c r="H7" s="10">
        <f>IFERROR(INDEX('库存明细'!$I$2:$I$500,MATCH(MAXIFS('库存明细'!$N$2:$N$500,'库存明细'!$C$2:$C$500,C7),'库存明细'!$N$2:$N$500,0)),"")</f>
        <v/>
      </c>
      <c r="I7" s="10">
        <f>IF(D7&gt;0,"优先清理无动销库存/调拨/促销","正常跟踪")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 ht="22" customHeight="1">
      <c r="A8" s="3" t="n"/>
      <c r="B8" s="10" t="n">
        <v>2</v>
      </c>
      <c r="C8" s="10">
        <f>IFERROR(INDEX($L$20:$L$24,MATCH(LARGE($M$20:$M$24,B8),$M$20:$M$24,0)),"")</f>
        <v/>
      </c>
      <c r="D8" s="11">
        <f>IFERROR(INDEX($M$20:$M$24,MATCH(C8,$L$20:$L$24,0)),0)</f>
        <v/>
      </c>
      <c r="E8" s="11">
        <f>IFERROR(INDEX($N$20:$N$24,MATCH(C8,$L$20:$L$24,0)),0)</f>
        <v/>
      </c>
      <c r="F8" s="11">
        <f>IFERROR(INDEX($O$20:$O$24,MATCH(C8,$L$20:$L$24,0)),0)</f>
        <v/>
      </c>
      <c r="G8" s="11">
        <f>IFERROR(INDEX($P$20:$P$24,MATCH(C8,$L$20:$L$24,0)),"")</f>
        <v/>
      </c>
      <c r="H8" s="10">
        <f>IFERROR(INDEX('库存明细'!$I$2:$I$500,MATCH(MAXIFS('库存明细'!$N$2:$N$500,'库存明细'!$C$2:$C$500,C8),'库存明细'!$N$2:$N$500,0)),"")</f>
        <v/>
      </c>
      <c r="I8" s="10">
        <f>IF(D8&gt;0,"优先清理无动销库存/调拨/促销","正常跟踪")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 ht="22" customHeight="1">
      <c r="A9" s="3" t="n"/>
      <c r="B9" s="10" t="n">
        <v>3</v>
      </c>
      <c r="C9" s="10">
        <f>IFERROR(INDEX($L$20:$L$24,MATCH(LARGE($M$20:$M$24,B9),$M$20:$M$24,0)),"")</f>
        <v/>
      </c>
      <c r="D9" s="11">
        <f>IFERROR(INDEX($M$20:$M$24,MATCH(C9,$L$20:$L$24,0)),0)</f>
        <v/>
      </c>
      <c r="E9" s="11">
        <f>IFERROR(INDEX($N$20:$N$24,MATCH(C9,$L$20:$L$24,0)),0)</f>
        <v/>
      </c>
      <c r="F9" s="11">
        <f>IFERROR(INDEX($O$20:$O$24,MATCH(C9,$L$20:$L$24,0)),0)</f>
        <v/>
      </c>
      <c r="G9" s="11">
        <f>IFERROR(INDEX($P$20:$P$24,MATCH(C9,$L$20:$L$24,0)),"")</f>
        <v/>
      </c>
      <c r="H9" s="10">
        <f>IFERROR(INDEX('库存明细'!$I$2:$I$500,MATCH(MAXIFS('库存明细'!$N$2:$N$500,'库存明细'!$C$2:$C$500,C9),'库存明细'!$N$2:$N$500,0)),"")</f>
        <v/>
      </c>
      <c r="I9" s="10">
        <f>IF(D9&gt;0,"优先清理无动销库存/调拨/促销","正常跟踪")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ht="22" customHeight="1">
      <c r="A10" s="3" t="n"/>
      <c r="B10" s="10" t="n">
        <v>4</v>
      </c>
      <c r="C10" s="10">
        <f>IFERROR(INDEX($L$20:$L$24,MATCH(LARGE($M$20:$M$24,B10),$M$20:$M$24,0)),"")</f>
        <v/>
      </c>
      <c r="D10" s="11">
        <f>IFERROR(INDEX($M$20:$M$24,MATCH(C10,$L$20:$L$24,0)),0)</f>
        <v/>
      </c>
      <c r="E10" s="11">
        <f>IFERROR(INDEX($N$20:$N$24,MATCH(C10,$L$20:$L$24,0)),0)</f>
        <v/>
      </c>
      <c r="F10" s="11">
        <f>IFERROR(INDEX($O$20:$O$24,MATCH(C10,$L$20:$L$24,0)),0)</f>
        <v/>
      </c>
      <c r="G10" s="11">
        <f>IFERROR(INDEX($P$20:$P$24,MATCH(C10,$L$20:$L$24,0)),"")</f>
        <v/>
      </c>
      <c r="H10" s="10">
        <f>IFERROR(INDEX('库存明细'!$I$2:$I$500,MATCH(MAXIFS('库存明细'!$N$2:$N$500,'库存明细'!$C$2:$C$500,C10),'库存明细'!$N$2:$N$500,0)),"")</f>
        <v/>
      </c>
      <c r="I10" s="10">
        <f>IF(D10&gt;0,"优先清理无动销库存/调拨/促销","正常跟踪")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 ht="22" customHeight="1">
      <c r="A11" s="3" t="n"/>
      <c r="B11" s="10" t="n">
        <v>5</v>
      </c>
      <c r="C11" s="10">
        <f>IFERROR(INDEX($L$20:$L$24,MATCH(LARGE($M$20:$M$24,B11),$M$20:$M$24,0)),"")</f>
        <v/>
      </c>
      <c r="D11" s="11">
        <f>IFERROR(INDEX($M$20:$M$24,MATCH(C11,$L$20:$L$24,0)),0)</f>
        <v/>
      </c>
      <c r="E11" s="11">
        <f>IFERROR(INDEX($N$20:$N$24,MATCH(C11,$L$20:$L$24,0)),0)</f>
        <v/>
      </c>
      <c r="F11" s="11">
        <f>IFERROR(INDEX($O$20:$O$24,MATCH(C11,$L$20:$L$24,0)),0)</f>
        <v/>
      </c>
      <c r="G11" s="11">
        <f>IFERROR(INDEX($P$20:$P$24,MATCH(C11,$L$20:$L$24,0)),"")</f>
        <v/>
      </c>
      <c r="H11" s="10">
        <f>IFERROR(INDEX('库存明细'!$I$2:$I$500,MATCH(MAXIFS('库存明细'!$N$2:$N$500,'库存明细'!$C$2:$C$500,C11),'库存明细'!$N$2:$N$500,0)),"")</f>
        <v/>
      </c>
      <c r="I11" s="10">
        <f>IF(D11&gt;0,"优先清理无动销库存/调拨/促销","正常跟踪")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ht="22" customHeight="1">
      <c r="A15" s="3" t="n"/>
      <c r="B15" s="7" t="inlineStr">
        <is>
          <t>原始数据：超60天门店明细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 ht="22" customHeight="1">
      <c r="A16" s="3" t="n"/>
      <c r="B16" s="9" t="inlineStr">
        <is>
          <t>数据日期</t>
        </is>
      </c>
      <c r="C16" s="9" t="inlineStr">
        <is>
          <t>KA系统</t>
        </is>
      </c>
      <c r="D16" s="9" t="inlineStr">
        <is>
          <t>大区</t>
        </is>
      </c>
      <c r="E16" s="9" t="inlineStr">
        <is>
          <t>省份</t>
        </is>
      </c>
      <c r="F16" s="9" t="inlineStr">
        <is>
          <t>门店编码</t>
        </is>
      </c>
      <c r="G16" s="9" t="inlineStr">
        <is>
          <t>门店名称</t>
        </is>
      </c>
      <c r="H16" s="9" t="inlineStr">
        <is>
          <t>商品编码</t>
        </is>
      </c>
      <c r="I16" s="9" t="inlineStr">
        <is>
          <t>商品名称</t>
        </is>
      </c>
      <c r="J16" s="9" t="inlineStr">
        <is>
          <t>门店库存</t>
        </is>
      </c>
      <c r="K16" s="9" t="inlineStr">
        <is>
          <t>近7日平均销量</t>
        </is>
      </c>
      <c r="L16" s="9" t="inlineStr">
        <is>
          <t>周转天数</t>
        </is>
      </c>
      <c r="M16" s="9" t="inlineStr">
        <is>
          <t>是否超60天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 ht="22" customHeight="1">
      <c r="A18" s="3" t="n"/>
      <c r="B18" s="10">
        <f>'库存明细'!A2</f>
        <v/>
      </c>
      <c r="C18" s="10">
        <f>'库存明细'!B2</f>
        <v/>
      </c>
      <c r="D18" s="10">
        <f>'库存明细'!C2</f>
        <v/>
      </c>
      <c r="E18" s="10">
        <f>'库存明细'!D2</f>
        <v/>
      </c>
      <c r="F18" s="10">
        <f>'库存明细'!E2</f>
        <v/>
      </c>
      <c r="G18" s="10">
        <f>'库存明细'!F2</f>
        <v/>
      </c>
      <c r="H18" s="10">
        <f>'库存明细'!H2</f>
        <v/>
      </c>
      <c r="I18" s="10">
        <f>'库存明细'!I2</f>
        <v/>
      </c>
      <c r="J18" s="11">
        <f>'库存明细'!J2</f>
        <v/>
      </c>
      <c r="K18" s="11">
        <f>'库存明细'!M2</f>
        <v/>
      </c>
      <c r="L18" s="11">
        <f>'库存明细'!N2</f>
        <v/>
      </c>
      <c r="M18" s="10">
        <f>'库存明细'!O2</f>
        <v/>
      </c>
      <c r="N18" s="3" t="n"/>
      <c r="O18" s="3" t="n"/>
      <c r="P18" s="3" t="n"/>
      <c r="Q18" s="3" t="n"/>
      <c r="R18" s="3" t="n"/>
      <c r="S18" s="3" t="n"/>
      <c r="T18" s="3" t="n"/>
      <c r="U18" s="3" t="n"/>
    </row>
    <row r="19" ht="22" customHeight="1">
      <c r="A19" s="3" t="n"/>
      <c r="B19" s="10">
        <f>'库存明细'!A3</f>
        <v/>
      </c>
      <c r="C19" s="10">
        <f>'库存明细'!B3</f>
        <v/>
      </c>
      <c r="D19" s="10">
        <f>'库存明细'!C3</f>
        <v/>
      </c>
      <c r="E19" s="10">
        <f>'库存明细'!D3</f>
        <v/>
      </c>
      <c r="F19" s="10">
        <f>'库存明细'!E3</f>
        <v/>
      </c>
      <c r="G19" s="10">
        <f>'库存明细'!F3</f>
        <v/>
      </c>
      <c r="H19" s="10">
        <f>'库存明细'!H3</f>
        <v/>
      </c>
      <c r="I19" s="10">
        <f>'库存明细'!I3</f>
        <v/>
      </c>
      <c r="J19" s="11">
        <f>'库存明细'!J3</f>
        <v/>
      </c>
      <c r="K19" s="11">
        <f>'库存明细'!M3</f>
        <v/>
      </c>
      <c r="L19" s="11">
        <f>'库存明细'!N3</f>
        <v/>
      </c>
      <c r="M19" s="10">
        <f>'库存明细'!O3</f>
        <v/>
      </c>
      <c r="N19" s="3" t="n"/>
      <c r="O19" s="3" t="n"/>
      <c r="P19" s="3" t="n"/>
      <c r="Q19" s="3" t="n"/>
      <c r="R19" s="3" t="n"/>
      <c r="S19" s="3" t="n"/>
      <c r="T19" s="3" t="n"/>
      <c r="U19" s="3" t="n"/>
    </row>
    <row r="20" ht="22" customHeight="1">
      <c r="A20" s="3" t="n"/>
      <c r="B20" s="10">
        <f>'库存明细'!A4</f>
        <v/>
      </c>
      <c r="C20" s="10">
        <f>'库存明细'!B4</f>
        <v/>
      </c>
      <c r="D20" s="10">
        <f>'库存明细'!C4</f>
        <v/>
      </c>
      <c r="E20" s="10">
        <f>'库存明细'!D4</f>
        <v/>
      </c>
      <c r="F20" s="10">
        <f>'库存明细'!E4</f>
        <v/>
      </c>
      <c r="G20" s="10">
        <f>'库存明细'!F4</f>
        <v/>
      </c>
      <c r="H20" s="10">
        <f>'库存明细'!H4</f>
        <v/>
      </c>
      <c r="I20" s="10">
        <f>'库存明细'!I4</f>
        <v/>
      </c>
      <c r="J20" s="11">
        <f>'库存明细'!J4</f>
        <v/>
      </c>
      <c r="K20" s="11">
        <f>'库存明细'!M4</f>
        <v/>
      </c>
      <c r="L20" s="11">
        <f>'库存明细'!N4</f>
        <v/>
      </c>
      <c r="M20" s="10">
        <f>'库存明细'!O4</f>
        <v/>
      </c>
      <c r="N20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20)&gt;0)*'库存明细'!$J$2:$J$500)</f>
        <v/>
      </c>
      <c r="O20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20)&gt;0)*'库存明细'!$M$2:$M$500)</f>
        <v/>
      </c>
      <c r="P20" s="3">
        <f>IFERROR(N20/O20,"")</f>
        <v/>
      </c>
      <c r="Q20" s="3" t="n"/>
      <c r="R20" s="3" t="n"/>
      <c r="S20" s="3" t="n"/>
      <c r="T20" s="3" t="n"/>
      <c r="U20" s="3" t="n"/>
    </row>
    <row r="21" ht="22" customHeight="1">
      <c r="A21" s="3" t="n"/>
      <c r="B21" s="10">
        <f>'库存明细'!A5</f>
        <v/>
      </c>
      <c r="C21" s="10">
        <f>'库存明细'!B5</f>
        <v/>
      </c>
      <c r="D21" s="10">
        <f>'库存明细'!C5</f>
        <v/>
      </c>
      <c r="E21" s="10">
        <f>'库存明细'!D5</f>
        <v/>
      </c>
      <c r="F21" s="10">
        <f>'库存明细'!E5</f>
        <v/>
      </c>
      <c r="G21" s="10">
        <f>'库存明细'!F5</f>
        <v/>
      </c>
      <c r="H21" s="10">
        <f>'库存明细'!H5</f>
        <v/>
      </c>
      <c r="I21" s="10">
        <f>'库存明细'!I5</f>
        <v/>
      </c>
      <c r="J21" s="11">
        <f>'库存明细'!J5</f>
        <v/>
      </c>
      <c r="K21" s="11">
        <f>'库存明细'!M5</f>
        <v/>
      </c>
      <c r="L21" s="11">
        <f>'库存明细'!N5</f>
        <v/>
      </c>
      <c r="M21" s="10">
        <f>'库存明细'!O5</f>
        <v/>
      </c>
      <c r="N21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21)&gt;0)*'库存明细'!$J$2:$J$500)</f>
        <v/>
      </c>
      <c r="O21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21)&gt;0)*'库存明细'!$M$2:$M$500)</f>
        <v/>
      </c>
      <c r="P21" s="3">
        <f>IFERROR(N21/O21,"")</f>
        <v/>
      </c>
      <c r="Q21" s="3" t="n"/>
      <c r="R21" s="3" t="n"/>
      <c r="S21" s="3" t="n"/>
      <c r="T21" s="3" t="n"/>
      <c r="U21" s="3" t="n"/>
    </row>
    <row r="22" ht="22" customHeight="1">
      <c r="A22" s="3" t="n"/>
      <c r="B22" s="10">
        <f>'库存明细'!A6</f>
        <v/>
      </c>
      <c r="C22" s="10">
        <f>'库存明细'!B6</f>
        <v/>
      </c>
      <c r="D22" s="10">
        <f>'库存明细'!C6</f>
        <v/>
      </c>
      <c r="E22" s="10">
        <f>'库存明细'!D6</f>
        <v/>
      </c>
      <c r="F22" s="10">
        <f>'库存明细'!E6</f>
        <v/>
      </c>
      <c r="G22" s="10">
        <f>'库存明细'!F6</f>
        <v/>
      </c>
      <c r="H22" s="10">
        <f>'库存明细'!H6</f>
        <v/>
      </c>
      <c r="I22" s="10">
        <f>'库存明细'!I6</f>
        <v/>
      </c>
      <c r="J22" s="11">
        <f>'库存明细'!J6</f>
        <v/>
      </c>
      <c r="K22" s="11">
        <f>'库存明细'!M6</f>
        <v/>
      </c>
      <c r="L22" s="11">
        <f>'库存明细'!N6</f>
        <v/>
      </c>
      <c r="M22" s="10">
        <f>'库存明细'!O6</f>
        <v/>
      </c>
      <c r="N22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22)&gt;0)*'库存明细'!$J$2:$J$500)</f>
        <v/>
      </c>
      <c r="O22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22)&gt;0)*'库存明细'!$M$2:$M$500)</f>
        <v/>
      </c>
      <c r="P22" s="3">
        <f>IFERROR(N22/O22,"")</f>
        <v/>
      </c>
      <c r="Q22" s="3" t="n"/>
      <c r="R22" s="3" t="n"/>
      <c r="S22" s="3" t="n"/>
      <c r="T22" s="3" t="n"/>
      <c r="U22" s="3" t="n"/>
    </row>
    <row r="23" ht="22" customHeight="1">
      <c r="A23" s="3" t="n"/>
      <c r="B23" s="10">
        <f>'库存明细'!A7</f>
        <v/>
      </c>
      <c r="C23" s="10">
        <f>'库存明细'!B7</f>
        <v/>
      </c>
      <c r="D23" s="10">
        <f>'库存明细'!C7</f>
        <v/>
      </c>
      <c r="E23" s="10">
        <f>'库存明细'!D7</f>
        <v/>
      </c>
      <c r="F23" s="10">
        <f>'库存明细'!E7</f>
        <v/>
      </c>
      <c r="G23" s="10">
        <f>'库存明细'!F7</f>
        <v/>
      </c>
      <c r="H23" s="10">
        <f>'库存明细'!H7</f>
        <v/>
      </c>
      <c r="I23" s="10">
        <f>'库存明细'!I7</f>
        <v/>
      </c>
      <c r="J23" s="11">
        <f>'库存明细'!J7</f>
        <v/>
      </c>
      <c r="K23" s="11">
        <f>'库存明细'!M7</f>
        <v/>
      </c>
      <c r="L23" s="11">
        <f>'库存明细'!N7</f>
        <v/>
      </c>
      <c r="M23" s="10">
        <f>'库存明细'!O7</f>
        <v/>
      </c>
      <c r="N23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23)&gt;0)*'库存明细'!$J$2:$J$500)</f>
        <v/>
      </c>
      <c r="O23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23)&gt;0)*'库存明细'!$M$2:$M$500)</f>
        <v/>
      </c>
      <c r="P23" s="3">
        <f>IFERROR(N23/O23,"")</f>
        <v/>
      </c>
      <c r="Q23" s="3" t="n"/>
      <c r="R23" s="3" t="n"/>
      <c r="S23" s="3" t="n"/>
      <c r="T23" s="3" t="n"/>
      <c r="U23" s="3" t="n"/>
    </row>
    <row r="24" ht="22" customHeight="1">
      <c r="A24" s="3" t="n"/>
      <c r="B24" s="10">
        <f>'库存明细'!A8</f>
        <v/>
      </c>
      <c r="C24" s="10">
        <f>'库存明细'!B8</f>
        <v/>
      </c>
      <c r="D24" s="10">
        <f>'库存明细'!C8</f>
        <v/>
      </c>
      <c r="E24" s="10">
        <f>'库存明细'!D8</f>
        <v/>
      </c>
      <c r="F24" s="10">
        <f>'库存明细'!E8</f>
        <v/>
      </c>
      <c r="G24" s="10">
        <f>'库存明细'!F8</f>
        <v/>
      </c>
      <c r="H24" s="10">
        <f>'库存明细'!H8</f>
        <v/>
      </c>
      <c r="I24" s="10">
        <f>'库存明细'!I8</f>
        <v/>
      </c>
      <c r="J24" s="11">
        <f>'库存明细'!J8</f>
        <v/>
      </c>
      <c r="K24" s="11">
        <f>'库存明细'!M8</f>
        <v/>
      </c>
      <c r="L24" s="11">
        <f>'库存明细'!N8</f>
        <v/>
      </c>
      <c r="M24" s="10">
        <f>'库存明细'!O8</f>
        <v/>
      </c>
      <c r="N24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24)&gt;0)*'库存明细'!$J$2:$J$500)</f>
        <v/>
      </c>
      <c r="O24" s="3">
        <f>SUMPRODUCT(('库存明细'!$A$2:$A$500=$C$3)*--((($F$3="全部")+('库存明细'!$B$2:$B$500=$F$3))&gt;0)*--((($I$3="全部")+('库存明细'!$C$2:$C$500=$I$3))&gt;0)*--((($L$3="全部")+('库存明细'!$D$2:$D$500=$L$3))&gt;0)*--(('库存明细'!$C$2:$C$500=L24)&gt;0)*'库存明细'!$M$2:$M$500)</f>
        <v/>
      </c>
      <c r="P24" s="3">
        <f>IFERROR(N24/O24,"")</f>
        <v/>
      </c>
      <c r="Q24" s="3" t="n"/>
      <c r="R24" s="3" t="n"/>
      <c r="S24" s="3" t="n"/>
      <c r="T24" s="3" t="n"/>
      <c r="U24" s="3" t="n"/>
    </row>
    <row r="25" ht="22" customHeight="1">
      <c r="A25" s="3" t="n"/>
      <c r="B25" s="10">
        <f>'库存明细'!A9</f>
        <v/>
      </c>
      <c r="C25" s="10">
        <f>'库存明细'!B9</f>
        <v/>
      </c>
      <c r="D25" s="10">
        <f>'库存明细'!C9</f>
        <v/>
      </c>
      <c r="E25" s="10">
        <f>'库存明细'!D9</f>
        <v/>
      </c>
      <c r="F25" s="10">
        <f>'库存明细'!E9</f>
        <v/>
      </c>
      <c r="G25" s="10">
        <f>'库存明细'!F9</f>
        <v/>
      </c>
      <c r="H25" s="10">
        <f>'库存明细'!H9</f>
        <v/>
      </c>
      <c r="I25" s="10">
        <f>'库存明细'!I9</f>
        <v/>
      </c>
      <c r="J25" s="11">
        <f>'库存明细'!J9</f>
        <v/>
      </c>
      <c r="K25" s="11">
        <f>'库存明细'!M9</f>
        <v/>
      </c>
      <c r="L25" s="11">
        <f>'库存明细'!N9</f>
        <v/>
      </c>
      <c r="M25" s="10">
        <f>'库存明细'!O9</f>
        <v/>
      </c>
      <c r="N25" s="3" t="n"/>
      <c r="O25" s="3" t="n"/>
      <c r="P25" s="3" t="n"/>
      <c r="Q25" s="3" t="n"/>
      <c r="R25" s="3" t="n"/>
      <c r="S25" s="3" t="n"/>
      <c r="T25" s="3" t="n"/>
      <c r="U25" s="3" t="n"/>
    </row>
    <row r="26" ht="22" customHeight="1">
      <c r="A26" s="3" t="n"/>
      <c r="B26" s="10">
        <f>'库存明细'!A10</f>
        <v/>
      </c>
      <c r="C26" s="10">
        <f>'库存明细'!B10</f>
        <v/>
      </c>
      <c r="D26" s="10">
        <f>'库存明细'!C10</f>
        <v/>
      </c>
      <c r="E26" s="10">
        <f>'库存明细'!D10</f>
        <v/>
      </c>
      <c r="F26" s="10">
        <f>'库存明细'!E10</f>
        <v/>
      </c>
      <c r="G26" s="10">
        <f>'库存明细'!F10</f>
        <v/>
      </c>
      <c r="H26" s="10">
        <f>'库存明细'!H10</f>
        <v/>
      </c>
      <c r="I26" s="10">
        <f>'库存明细'!I10</f>
        <v/>
      </c>
      <c r="J26" s="11">
        <f>'库存明细'!J10</f>
        <v/>
      </c>
      <c r="K26" s="11">
        <f>'库存明细'!M10</f>
        <v/>
      </c>
      <c r="L26" s="11">
        <f>'库存明细'!N10</f>
        <v/>
      </c>
      <c r="M26" s="10">
        <f>'库存明细'!O10</f>
        <v/>
      </c>
      <c r="N26" s="3" t="n"/>
      <c r="O26" s="3" t="n"/>
      <c r="P26" s="3" t="n"/>
      <c r="Q26" s="3" t="n"/>
      <c r="R26" s="3" t="n"/>
      <c r="S26" s="3" t="n"/>
      <c r="T26" s="3" t="n"/>
      <c r="U26" s="3" t="n"/>
    </row>
    <row r="27" ht="22" customHeight="1">
      <c r="A27" s="3" t="n"/>
      <c r="B27" s="10">
        <f>'库存明细'!A11</f>
        <v/>
      </c>
      <c r="C27" s="10">
        <f>'库存明细'!B11</f>
        <v/>
      </c>
      <c r="D27" s="10">
        <f>'库存明细'!C11</f>
        <v/>
      </c>
      <c r="E27" s="10">
        <f>'库存明细'!D11</f>
        <v/>
      </c>
      <c r="F27" s="10">
        <f>'库存明细'!E11</f>
        <v/>
      </c>
      <c r="G27" s="10">
        <f>'库存明细'!F11</f>
        <v/>
      </c>
      <c r="H27" s="10">
        <f>'库存明细'!H11</f>
        <v/>
      </c>
      <c r="I27" s="10">
        <f>'库存明细'!I11</f>
        <v/>
      </c>
      <c r="J27" s="11">
        <f>'库存明细'!J11</f>
        <v/>
      </c>
      <c r="K27" s="11">
        <f>'库存明细'!M11</f>
        <v/>
      </c>
      <c r="L27" s="11">
        <f>'库存明细'!N11</f>
        <v/>
      </c>
      <c r="M27" s="10">
        <f>'库存明细'!O11</f>
        <v/>
      </c>
      <c r="N27" s="3" t="n"/>
      <c r="O27" s="3" t="n"/>
      <c r="P27" s="3" t="n"/>
      <c r="Q27" s="3" t="n"/>
      <c r="R27" s="3" t="n"/>
      <c r="S27" s="3" t="n"/>
      <c r="T27" s="3" t="n"/>
      <c r="U27" s="3" t="n"/>
    </row>
    <row r="28" ht="22" customHeight="1">
      <c r="A28" s="3" t="n"/>
      <c r="B28" s="10">
        <f>'库存明细'!A12</f>
        <v/>
      </c>
      <c r="C28" s="10">
        <f>'库存明细'!B12</f>
        <v/>
      </c>
      <c r="D28" s="10">
        <f>'库存明细'!C12</f>
        <v/>
      </c>
      <c r="E28" s="10">
        <f>'库存明细'!D12</f>
        <v/>
      </c>
      <c r="F28" s="10">
        <f>'库存明细'!E12</f>
        <v/>
      </c>
      <c r="G28" s="10">
        <f>'库存明细'!F12</f>
        <v/>
      </c>
      <c r="H28" s="10">
        <f>'库存明细'!H12</f>
        <v/>
      </c>
      <c r="I28" s="10">
        <f>'库存明细'!I12</f>
        <v/>
      </c>
      <c r="J28" s="11">
        <f>'库存明细'!J12</f>
        <v/>
      </c>
      <c r="K28" s="11">
        <f>'库存明细'!M12</f>
        <v/>
      </c>
      <c r="L28" s="11">
        <f>'库存明细'!N12</f>
        <v/>
      </c>
      <c r="M28" s="10">
        <f>'库存明细'!O12</f>
        <v/>
      </c>
      <c r="N28" s="3" t="n"/>
      <c r="O28" s="3" t="n"/>
      <c r="P28" s="3" t="n"/>
      <c r="Q28" s="3" t="n"/>
      <c r="R28" s="3" t="n"/>
      <c r="S28" s="3" t="n"/>
      <c r="T28" s="3" t="n"/>
      <c r="U28" s="3" t="n"/>
    </row>
    <row r="29" ht="22" customHeight="1">
      <c r="A29" s="3" t="n"/>
      <c r="B29" s="10">
        <f>'库存明细'!A13</f>
        <v/>
      </c>
      <c r="C29" s="10">
        <f>'库存明细'!B13</f>
        <v/>
      </c>
      <c r="D29" s="10">
        <f>'库存明细'!C13</f>
        <v/>
      </c>
      <c r="E29" s="10">
        <f>'库存明细'!D13</f>
        <v/>
      </c>
      <c r="F29" s="10">
        <f>'库存明细'!E13</f>
        <v/>
      </c>
      <c r="G29" s="10">
        <f>'库存明细'!F13</f>
        <v/>
      </c>
      <c r="H29" s="10">
        <f>'库存明细'!H13</f>
        <v/>
      </c>
      <c r="I29" s="10">
        <f>'库存明细'!I13</f>
        <v/>
      </c>
      <c r="J29" s="11">
        <f>'库存明细'!J13</f>
        <v/>
      </c>
      <c r="K29" s="11">
        <f>'库存明细'!M13</f>
        <v/>
      </c>
      <c r="L29" s="11">
        <f>'库存明细'!N13</f>
        <v/>
      </c>
      <c r="M29" s="10">
        <f>'库存明细'!O13</f>
        <v/>
      </c>
      <c r="N29" s="3" t="n"/>
      <c r="O29" s="3" t="n"/>
      <c r="P29" s="3" t="n"/>
      <c r="Q29" s="3" t="n"/>
      <c r="R29" s="3" t="n"/>
      <c r="S29" s="3" t="n"/>
      <c r="T29" s="3" t="n"/>
      <c r="U29" s="3" t="n"/>
    </row>
    <row r="30" ht="22" customHeight="1">
      <c r="A30" s="3" t="n"/>
      <c r="B30" s="10">
        <f>'库存明细'!A14</f>
        <v/>
      </c>
      <c r="C30" s="10">
        <f>'库存明细'!B14</f>
        <v/>
      </c>
      <c r="D30" s="10">
        <f>'库存明细'!C14</f>
        <v/>
      </c>
      <c r="E30" s="10">
        <f>'库存明细'!D14</f>
        <v/>
      </c>
      <c r="F30" s="10">
        <f>'库存明细'!E14</f>
        <v/>
      </c>
      <c r="G30" s="10">
        <f>'库存明细'!F14</f>
        <v/>
      </c>
      <c r="H30" s="10">
        <f>'库存明细'!H14</f>
        <v/>
      </c>
      <c r="I30" s="10">
        <f>'库存明细'!I14</f>
        <v/>
      </c>
      <c r="J30" s="11">
        <f>'库存明细'!J14</f>
        <v/>
      </c>
      <c r="K30" s="11">
        <f>'库存明细'!M14</f>
        <v/>
      </c>
      <c r="L30" s="11">
        <f>'库存明细'!N14</f>
        <v/>
      </c>
      <c r="M30" s="10">
        <f>'库存明细'!O14</f>
        <v/>
      </c>
      <c r="N30" s="3" t="n"/>
      <c r="O30" s="3" t="n"/>
      <c r="P30" s="3" t="n"/>
      <c r="Q30" s="3" t="n"/>
      <c r="R30" s="3" t="n"/>
      <c r="S30" s="3" t="n"/>
      <c r="T30" s="3" t="n"/>
      <c r="U30" s="3" t="n"/>
    </row>
    <row r="31" ht="22" customHeight="1">
      <c r="A31" s="3" t="n"/>
      <c r="B31" s="10">
        <f>'库存明细'!A15</f>
        <v/>
      </c>
      <c r="C31" s="10">
        <f>'库存明细'!B15</f>
        <v/>
      </c>
      <c r="D31" s="10">
        <f>'库存明细'!C15</f>
        <v/>
      </c>
      <c r="E31" s="10">
        <f>'库存明细'!D15</f>
        <v/>
      </c>
      <c r="F31" s="10">
        <f>'库存明细'!E15</f>
        <v/>
      </c>
      <c r="G31" s="10">
        <f>'库存明细'!F15</f>
        <v/>
      </c>
      <c r="H31" s="10">
        <f>'库存明细'!H15</f>
        <v/>
      </c>
      <c r="I31" s="10">
        <f>'库存明细'!I15</f>
        <v/>
      </c>
      <c r="J31" s="11">
        <f>'库存明细'!J15</f>
        <v/>
      </c>
      <c r="K31" s="11">
        <f>'库存明细'!M15</f>
        <v/>
      </c>
      <c r="L31" s="11">
        <f>'库存明细'!N15</f>
        <v/>
      </c>
      <c r="M31" s="10">
        <f>'库存明细'!O15</f>
        <v/>
      </c>
      <c r="N31" s="3" t="n"/>
      <c r="O31" s="3" t="n"/>
      <c r="P31" s="3" t="n"/>
      <c r="Q31" s="3" t="n"/>
      <c r="R31" s="3" t="n"/>
      <c r="S31" s="3" t="n"/>
      <c r="T31" s="3" t="n"/>
      <c r="U31" s="3" t="n"/>
    </row>
    <row r="32" ht="22" customHeight="1">
      <c r="A32" s="3" t="n"/>
      <c r="B32" s="10">
        <f>'库存明细'!A16</f>
        <v/>
      </c>
      <c r="C32" s="10">
        <f>'库存明细'!B16</f>
        <v/>
      </c>
      <c r="D32" s="10">
        <f>'库存明细'!C16</f>
        <v/>
      </c>
      <c r="E32" s="10">
        <f>'库存明细'!D16</f>
        <v/>
      </c>
      <c r="F32" s="10">
        <f>'库存明细'!E16</f>
        <v/>
      </c>
      <c r="G32" s="10">
        <f>'库存明细'!F16</f>
        <v/>
      </c>
      <c r="H32" s="10">
        <f>'库存明细'!H16</f>
        <v/>
      </c>
      <c r="I32" s="10">
        <f>'库存明细'!I16</f>
        <v/>
      </c>
      <c r="J32" s="11">
        <f>'库存明细'!J16</f>
        <v/>
      </c>
      <c r="K32" s="11">
        <f>'库存明细'!M16</f>
        <v/>
      </c>
      <c r="L32" s="11">
        <f>'库存明细'!N16</f>
        <v/>
      </c>
      <c r="M32" s="10">
        <f>'库存明细'!O16</f>
        <v/>
      </c>
      <c r="N32" s="3" t="n"/>
      <c r="O32" s="3" t="n"/>
      <c r="P32" s="3" t="n"/>
      <c r="Q32" s="3" t="n"/>
      <c r="R32" s="3" t="n"/>
      <c r="S32" s="3" t="n"/>
      <c r="T32" s="3" t="n"/>
      <c r="U32" s="3" t="n"/>
    </row>
    <row r="33" ht="22" customHeight="1">
      <c r="A33" s="3" t="n"/>
      <c r="B33" s="10">
        <f>'库存明细'!A17</f>
        <v/>
      </c>
      <c r="C33" s="10">
        <f>'库存明细'!B17</f>
        <v/>
      </c>
      <c r="D33" s="10">
        <f>'库存明细'!C17</f>
        <v/>
      </c>
      <c r="E33" s="10">
        <f>'库存明细'!D17</f>
        <v/>
      </c>
      <c r="F33" s="10">
        <f>'库存明细'!E17</f>
        <v/>
      </c>
      <c r="G33" s="10">
        <f>'库存明细'!F17</f>
        <v/>
      </c>
      <c r="H33" s="10">
        <f>'库存明细'!H17</f>
        <v/>
      </c>
      <c r="I33" s="10">
        <f>'库存明细'!I17</f>
        <v/>
      </c>
      <c r="J33" s="11">
        <f>'库存明细'!J17</f>
        <v/>
      </c>
      <c r="K33" s="11">
        <f>'库存明细'!M17</f>
        <v/>
      </c>
      <c r="L33" s="11">
        <f>'库存明细'!N17</f>
        <v/>
      </c>
      <c r="M33" s="10">
        <f>'库存明细'!O17</f>
        <v/>
      </c>
      <c r="N33" s="3" t="n"/>
      <c r="O33" s="3" t="n"/>
      <c r="P33" s="3" t="n"/>
      <c r="Q33" s="3" t="n"/>
      <c r="R33" s="3" t="n"/>
      <c r="S33" s="3" t="n"/>
      <c r="T33" s="3" t="n"/>
      <c r="U33" s="3" t="n"/>
    </row>
    <row r="34" ht="22" customHeight="1">
      <c r="A34" s="3" t="n"/>
      <c r="B34" s="10">
        <f>'库存明细'!A18</f>
        <v/>
      </c>
      <c r="C34" s="10">
        <f>'库存明细'!B18</f>
        <v/>
      </c>
      <c r="D34" s="10">
        <f>'库存明细'!C18</f>
        <v/>
      </c>
      <c r="E34" s="10">
        <f>'库存明细'!D18</f>
        <v/>
      </c>
      <c r="F34" s="10">
        <f>'库存明细'!E18</f>
        <v/>
      </c>
      <c r="G34" s="10">
        <f>'库存明细'!F18</f>
        <v/>
      </c>
      <c r="H34" s="10">
        <f>'库存明细'!H18</f>
        <v/>
      </c>
      <c r="I34" s="10">
        <f>'库存明细'!I18</f>
        <v/>
      </c>
      <c r="J34" s="11">
        <f>'库存明细'!J18</f>
        <v/>
      </c>
      <c r="K34" s="11">
        <f>'库存明细'!M18</f>
        <v/>
      </c>
      <c r="L34" s="11">
        <f>'库存明细'!N18</f>
        <v/>
      </c>
      <c r="M34" s="10">
        <f>'库存明细'!O18</f>
        <v/>
      </c>
      <c r="N34" s="3" t="n"/>
      <c r="O34" s="3" t="n"/>
      <c r="P34" s="3" t="n"/>
      <c r="Q34" s="3" t="n"/>
      <c r="R34" s="3" t="n"/>
      <c r="S34" s="3" t="n"/>
      <c r="T34" s="3" t="n"/>
      <c r="U34" s="3" t="n"/>
    </row>
    <row r="35" ht="22" customHeight="1">
      <c r="A35" s="3" t="n"/>
      <c r="B35" s="10">
        <f>'库存明细'!A19</f>
        <v/>
      </c>
      <c r="C35" s="10">
        <f>'库存明细'!B19</f>
        <v/>
      </c>
      <c r="D35" s="10">
        <f>'库存明细'!C19</f>
        <v/>
      </c>
      <c r="E35" s="10">
        <f>'库存明细'!D19</f>
        <v/>
      </c>
      <c r="F35" s="10">
        <f>'库存明细'!E19</f>
        <v/>
      </c>
      <c r="G35" s="10">
        <f>'库存明细'!F19</f>
        <v/>
      </c>
      <c r="H35" s="10">
        <f>'库存明细'!H19</f>
        <v/>
      </c>
      <c r="I35" s="10">
        <f>'库存明细'!I19</f>
        <v/>
      </c>
      <c r="J35" s="11">
        <f>'库存明细'!J19</f>
        <v/>
      </c>
      <c r="K35" s="11">
        <f>'库存明细'!M19</f>
        <v/>
      </c>
      <c r="L35" s="11">
        <f>'库存明细'!N19</f>
        <v/>
      </c>
      <c r="M35" s="10">
        <f>'库存明细'!O19</f>
        <v/>
      </c>
      <c r="N35" s="3" t="n"/>
      <c r="O35" s="3" t="n"/>
      <c r="P35" s="3" t="n"/>
      <c r="Q35" s="3" t="n"/>
      <c r="R35" s="3" t="n"/>
      <c r="S35" s="3" t="n"/>
      <c r="T35" s="3" t="n"/>
      <c r="U35" s="3" t="n"/>
    </row>
    <row r="36" ht="22" customHeight="1">
      <c r="A36" s="3" t="n"/>
      <c r="B36" s="10">
        <f>'库存明细'!A20</f>
        <v/>
      </c>
      <c r="C36" s="10">
        <f>'库存明细'!B20</f>
        <v/>
      </c>
      <c r="D36" s="10">
        <f>'库存明细'!C20</f>
        <v/>
      </c>
      <c r="E36" s="10">
        <f>'库存明细'!D20</f>
        <v/>
      </c>
      <c r="F36" s="10">
        <f>'库存明细'!E20</f>
        <v/>
      </c>
      <c r="G36" s="10">
        <f>'库存明细'!F20</f>
        <v/>
      </c>
      <c r="H36" s="10">
        <f>'库存明细'!H20</f>
        <v/>
      </c>
      <c r="I36" s="10">
        <f>'库存明细'!I20</f>
        <v/>
      </c>
      <c r="J36" s="11">
        <f>'库存明细'!J20</f>
        <v/>
      </c>
      <c r="K36" s="11">
        <f>'库存明细'!M20</f>
        <v/>
      </c>
      <c r="L36" s="11">
        <f>'库存明细'!N20</f>
        <v/>
      </c>
      <c r="M36" s="10">
        <f>'库存明细'!O20</f>
        <v/>
      </c>
      <c r="N36" s="3" t="n"/>
      <c r="O36" s="3" t="n"/>
      <c r="P36" s="3" t="n"/>
      <c r="Q36" s="3" t="n"/>
      <c r="R36" s="3" t="n"/>
      <c r="S36" s="3" t="n"/>
      <c r="T36" s="3" t="n"/>
      <c r="U36" s="3" t="n"/>
    </row>
    <row r="37" ht="22" customHeight="1">
      <c r="A37" s="3" t="n"/>
      <c r="B37" s="10">
        <f>'库存明细'!A21</f>
        <v/>
      </c>
      <c r="C37" s="10">
        <f>'库存明细'!B21</f>
        <v/>
      </c>
      <c r="D37" s="10">
        <f>'库存明细'!C21</f>
        <v/>
      </c>
      <c r="E37" s="10">
        <f>'库存明细'!D21</f>
        <v/>
      </c>
      <c r="F37" s="10">
        <f>'库存明细'!E21</f>
        <v/>
      </c>
      <c r="G37" s="10">
        <f>'库存明细'!F21</f>
        <v/>
      </c>
      <c r="H37" s="10">
        <f>'库存明细'!H21</f>
        <v/>
      </c>
      <c r="I37" s="10">
        <f>'库存明细'!I21</f>
        <v/>
      </c>
      <c r="J37" s="11">
        <f>'库存明细'!J21</f>
        <v/>
      </c>
      <c r="K37" s="11">
        <f>'库存明细'!M21</f>
        <v/>
      </c>
      <c r="L37" s="11">
        <f>'库存明细'!N21</f>
        <v/>
      </c>
      <c r="M37" s="10">
        <f>'库存明细'!O21</f>
        <v/>
      </c>
      <c r="N37" s="3" t="n"/>
      <c r="O37" s="3" t="n"/>
      <c r="P37" s="3" t="n"/>
      <c r="Q37" s="3" t="n"/>
      <c r="R37" s="3" t="n"/>
      <c r="S37" s="3" t="n"/>
      <c r="T37" s="3" t="n"/>
      <c r="U37" s="3" t="n"/>
    </row>
    <row r="38" ht="22" customHeight="1">
      <c r="A38" s="3" t="n"/>
      <c r="B38" s="10">
        <f>'库存明细'!A22</f>
        <v/>
      </c>
      <c r="C38" s="10">
        <f>'库存明细'!B22</f>
        <v/>
      </c>
      <c r="D38" s="10">
        <f>'库存明细'!C22</f>
        <v/>
      </c>
      <c r="E38" s="10">
        <f>'库存明细'!D22</f>
        <v/>
      </c>
      <c r="F38" s="10">
        <f>'库存明细'!E22</f>
        <v/>
      </c>
      <c r="G38" s="10">
        <f>'库存明细'!F22</f>
        <v/>
      </c>
      <c r="H38" s="10">
        <f>'库存明细'!H22</f>
        <v/>
      </c>
      <c r="I38" s="10">
        <f>'库存明细'!I22</f>
        <v/>
      </c>
      <c r="J38" s="11">
        <f>'库存明细'!J22</f>
        <v/>
      </c>
      <c r="K38" s="11">
        <f>'库存明细'!M22</f>
        <v/>
      </c>
      <c r="L38" s="11">
        <f>'库存明细'!N22</f>
        <v/>
      </c>
      <c r="M38" s="10">
        <f>'库存明细'!O22</f>
        <v/>
      </c>
      <c r="N38" s="3" t="n"/>
      <c r="O38" s="3" t="n"/>
      <c r="P38" s="3" t="n"/>
      <c r="Q38" s="3" t="n"/>
      <c r="R38" s="3" t="n"/>
      <c r="S38" s="3" t="n"/>
      <c r="T38" s="3" t="n"/>
      <c r="U38" s="3" t="n"/>
    </row>
    <row r="39" ht="22" customHeight="1">
      <c r="A39" s="3" t="n"/>
      <c r="B39" s="10">
        <f>'库存明细'!A23</f>
        <v/>
      </c>
      <c r="C39" s="10">
        <f>'库存明细'!B23</f>
        <v/>
      </c>
      <c r="D39" s="10">
        <f>'库存明细'!C23</f>
        <v/>
      </c>
      <c r="E39" s="10">
        <f>'库存明细'!D23</f>
        <v/>
      </c>
      <c r="F39" s="10">
        <f>'库存明细'!E23</f>
        <v/>
      </c>
      <c r="G39" s="10">
        <f>'库存明细'!F23</f>
        <v/>
      </c>
      <c r="H39" s="10">
        <f>'库存明细'!H23</f>
        <v/>
      </c>
      <c r="I39" s="10">
        <f>'库存明细'!I23</f>
        <v/>
      </c>
      <c r="J39" s="11">
        <f>'库存明细'!J23</f>
        <v/>
      </c>
      <c r="K39" s="11">
        <f>'库存明细'!M23</f>
        <v/>
      </c>
      <c r="L39" s="11">
        <f>'库存明细'!N23</f>
        <v/>
      </c>
      <c r="M39" s="10">
        <f>'库存明细'!O23</f>
        <v/>
      </c>
      <c r="N39" s="3" t="n"/>
      <c r="O39" s="3" t="n"/>
      <c r="P39" s="3" t="n"/>
      <c r="Q39" s="3" t="n"/>
      <c r="R39" s="3" t="n"/>
      <c r="S39" s="3" t="n"/>
      <c r="T39" s="3" t="n"/>
      <c r="U39" s="3" t="n"/>
    </row>
    <row r="40" ht="22" customHeight="1">
      <c r="A40" s="3" t="n"/>
      <c r="B40" s="10">
        <f>'库存明细'!A24</f>
        <v/>
      </c>
      <c r="C40" s="10">
        <f>'库存明细'!B24</f>
        <v/>
      </c>
      <c r="D40" s="10">
        <f>'库存明细'!C24</f>
        <v/>
      </c>
      <c r="E40" s="10">
        <f>'库存明细'!D24</f>
        <v/>
      </c>
      <c r="F40" s="10">
        <f>'库存明细'!E24</f>
        <v/>
      </c>
      <c r="G40" s="10">
        <f>'库存明细'!F24</f>
        <v/>
      </c>
      <c r="H40" s="10">
        <f>'库存明细'!H24</f>
        <v/>
      </c>
      <c r="I40" s="10">
        <f>'库存明细'!I24</f>
        <v/>
      </c>
      <c r="J40" s="11">
        <f>'库存明细'!J24</f>
        <v/>
      </c>
      <c r="K40" s="11">
        <f>'库存明细'!M24</f>
        <v/>
      </c>
      <c r="L40" s="11">
        <f>'库存明细'!N24</f>
        <v/>
      </c>
      <c r="M40" s="10">
        <f>'库存明细'!O24</f>
        <v/>
      </c>
      <c r="N40" s="3" t="n"/>
      <c r="O40" s="3" t="n"/>
      <c r="P40" s="3" t="n"/>
      <c r="Q40" s="3" t="n"/>
      <c r="R40" s="3" t="n"/>
      <c r="S40" s="3" t="n"/>
      <c r="T40" s="3" t="n"/>
      <c r="U40" s="3" t="n"/>
    </row>
    <row r="41" ht="22" customHeight="1">
      <c r="A41" s="3" t="n"/>
      <c r="B41" s="10">
        <f>'库存明细'!A25</f>
        <v/>
      </c>
      <c r="C41" s="10">
        <f>'库存明细'!B25</f>
        <v/>
      </c>
      <c r="D41" s="10">
        <f>'库存明细'!C25</f>
        <v/>
      </c>
      <c r="E41" s="10">
        <f>'库存明细'!D25</f>
        <v/>
      </c>
      <c r="F41" s="10">
        <f>'库存明细'!E25</f>
        <v/>
      </c>
      <c r="G41" s="10">
        <f>'库存明细'!F25</f>
        <v/>
      </c>
      <c r="H41" s="10">
        <f>'库存明细'!H25</f>
        <v/>
      </c>
      <c r="I41" s="10">
        <f>'库存明细'!I25</f>
        <v/>
      </c>
      <c r="J41" s="11">
        <f>'库存明细'!J25</f>
        <v/>
      </c>
      <c r="K41" s="11">
        <f>'库存明细'!M25</f>
        <v/>
      </c>
      <c r="L41" s="11">
        <f>'库存明细'!N25</f>
        <v/>
      </c>
      <c r="M41" s="10">
        <f>'库存明细'!O25</f>
        <v/>
      </c>
      <c r="N41" s="3" t="n"/>
      <c r="O41" s="3" t="n"/>
      <c r="P41" s="3" t="n"/>
      <c r="Q41" s="3" t="n"/>
      <c r="R41" s="3" t="n"/>
      <c r="S41" s="3" t="n"/>
      <c r="T41" s="3" t="n"/>
      <c r="U41" s="3" t="n"/>
    </row>
    <row r="42" ht="22" customHeight="1">
      <c r="A42" s="3" t="n"/>
      <c r="B42" s="10">
        <f>'库存明细'!A26</f>
        <v/>
      </c>
      <c r="C42" s="10">
        <f>'库存明细'!B26</f>
        <v/>
      </c>
      <c r="D42" s="10">
        <f>'库存明细'!C26</f>
        <v/>
      </c>
      <c r="E42" s="10">
        <f>'库存明细'!D26</f>
        <v/>
      </c>
      <c r="F42" s="10">
        <f>'库存明细'!E26</f>
        <v/>
      </c>
      <c r="G42" s="10">
        <f>'库存明细'!F26</f>
        <v/>
      </c>
      <c r="H42" s="10">
        <f>'库存明细'!H26</f>
        <v/>
      </c>
      <c r="I42" s="10">
        <f>'库存明细'!I26</f>
        <v/>
      </c>
      <c r="J42" s="11">
        <f>'库存明细'!J26</f>
        <v/>
      </c>
      <c r="K42" s="11">
        <f>'库存明细'!M26</f>
        <v/>
      </c>
      <c r="L42" s="11">
        <f>'库存明细'!N26</f>
        <v/>
      </c>
      <c r="M42" s="10">
        <f>'库存明细'!O26</f>
        <v/>
      </c>
      <c r="N42" s="3" t="n"/>
      <c r="O42" s="3" t="n"/>
      <c r="P42" s="3" t="n"/>
      <c r="Q42" s="3" t="n"/>
      <c r="R42" s="3" t="n"/>
      <c r="S42" s="3" t="n"/>
      <c r="T42" s="3" t="n"/>
      <c r="U42" s="3" t="n"/>
    </row>
    <row r="43" ht="22" customHeight="1">
      <c r="A43" s="3" t="n"/>
      <c r="B43" s="10">
        <f>'库存明细'!A27</f>
        <v/>
      </c>
      <c r="C43" s="10">
        <f>'库存明细'!B27</f>
        <v/>
      </c>
      <c r="D43" s="10">
        <f>'库存明细'!C27</f>
        <v/>
      </c>
      <c r="E43" s="10">
        <f>'库存明细'!D27</f>
        <v/>
      </c>
      <c r="F43" s="10">
        <f>'库存明细'!E27</f>
        <v/>
      </c>
      <c r="G43" s="10">
        <f>'库存明细'!F27</f>
        <v/>
      </c>
      <c r="H43" s="10">
        <f>'库存明细'!H27</f>
        <v/>
      </c>
      <c r="I43" s="10">
        <f>'库存明细'!I27</f>
        <v/>
      </c>
      <c r="J43" s="11">
        <f>'库存明细'!J27</f>
        <v/>
      </c>
      <c r="K43" s="11">
        <f>'库存明细'!M27</f>
        <v/>
      </c>
      <c r="L43" s="11">
        <f>'库存明细'!N27</f>
        <v/>
      </c>
      <c r="M43" s="10">
        <f>'库存明细'!O27</f>
        <v/>
      </c>
      <c r="N43" s="3" t="n"/>
      <c r="O43" s="3" t="n"/>
      <c r="P43" s="3" t="n"/>
      <c r="Q43" s="3" t="n"/>
      <c r="R43" s="3" t="n"/>
      <c r="S43" s="3" t="n"/>
      <c r="T43" s="3" t="n"/>
      <c r="U43" s="3" t="n"/>
    </row>
    <row r="44" ht="22" customHeight="1">
      <c r="A44" s="3" t="n"/>
      <c r="B44" s="10">
        <f>'库存明细'!A28</f>
        <v/>
      </c>
      <c r="C44" s="10">
        <f>'库存明细'!B28</f>
        <v/>
      </c>
      <c r="D44" s="10">
        <f>'库存明细'!C28</f>
        <v/>
      </c>
      <c r="E44" s="10">
        <f>'库存明细'!D28</f>
        <v/>
      </c>
      <c r="F44" s="10">
        <f>'库存明细'!E28</f>
        <v/>
      </c>
      <c r="G44" s="10">
        <f>'库存明细'!F28</f>
        <v/>
      </c>
      <c r="H44" s="10">
        <f>'库存明细'!H28</f>
        <v/>
      </c>
      <c r="I44" s="10">
        <f>'库存明细'!I28</f>
        <v/>
      </c>
      <c r="J44" s="11">
        <f>'库存明细'!J28</f>
        <v/>
      </c>
      <c r="K44" s="11">
        <f>'库存明细'!M28</f>
        <v/>
      </c>
      <c r="L44" s="11">
        <f>'库存明细'!N28</f>
        <v/>
      </c>
      <c r="M44" s="10">
        <f>'库存明细'!O28</f>
        <v/>
      </c>
      <c r="N44" s="3" t="n"/>
      <c r="O44" s="3" t="n"/>
      <c r="P44" s="3" t="n"/>
      <c r="Q44" s="3" t="n"/>
      <c r="R44" s="3" t="n"/>
      <c r="S44" s="3" t="n"/>
      <c r="T44" s="3" t="n"/>
      <c r="U44" s="3" t="n"/>
    </row>
    <row r="45" ht="22" customHeight="1">
      <c r="A45" s="3" t="n"/>
      <c r="B45" s="10">
        <f>'库存明细'!A29</f>
        <v/>
      </c>
      <c r="C45" s="10">
        <f>'库存明细'!B29</f>
        <v/>
      </c>
      <c r="D45" s="10">
        <f>'库存明细'!C29</f>
        <v/>
      </c>
      <c r="E45" s="10">
        <f>'库存明细'!D29</f>
        <v/>
      </c>
      <c r="F45" s="10">
        <f>'库存明细'!E29</f>
        <v/>
      </c>
      <c r="G45" s="10">
        <f>'库存明细'!F29</f>
        <v/>
      </c>
      <c r="H45" s="10">
        <f>'库存明细'!H29</f>
        <v/>
      </c>
      <c r="I45" s="10">
        <f>'库存明细'!I29</f>
        <v/>
      </c>
      <c r="J45" s="11">
        <f>'库存明细'!J29</f>
        <v/>
      </c>
      <c r="K45" s="11">
        <f>'库存明细'!M29</f>
        <v/>
      </c>
      <c r="L45" s="11">
        <f>'库存明细'!N29</f>
        <v/>
      </c>
      <c r="M45" s="10">
        <f>'库存明细'!O29</f>
        <v/>
      </c>
      <c r="N45" s="3" t="n"/>
      <c r="O45" s="3" t="n"/>
      <c r="P45" s="3" t="n"/>
      <c r="Q45" s="3" t="n"/>
      <c r="R45" s="3" t="n"/>
      <c r="S45" s="3" t="n"/>
      <c r="T45" s="3" t="n"/>
      <c r="U45" s="3" t="n"/>
    </row>
    <row r="46" ht="22" customHeight="1">
      <c r="A46" s="3" t="n"/>
      <c r="B46" s="3">
        <f>'库存明细'!A30</f>
        <v/>
      </c>
      <c r="C46" s="3">
        <f>'库存明细'!B30</f>
        <v/>
      </c>
      <c r="D46" s="3">
        <f>'库存明细'!C30</f>
        <v/>
      </c>
      <c r="E46" s="3">
        <f>'库存明细'!D30</f>
        <v/>
      </c>
      <c r="F46" s="3">
        <f>'库存明细'!E30</f>
        <v/>
      </c>
      <c r="G46" s="3">
        <f>'库存明细'!F30</f>
        <v/>
      </c>
      <c r="H46" s="3">
        <f>'库存明细'!H30</f>
        <v/>
      </c>
      <c r="I46" s="3">
        <f>'库存明细'!I30</f>
        <v/>
      </c>
      <c r="J46" s="3">
        <f>'库存明细'!J30</f>
        <v/>
      </c>
      <c r="K46" s="3">
        <f>'库存明细'!M30</f>
        <v/>
      </c>
      <c r="L46" s="3">
        <f>'库存明细'!N30</f>
        <v/>
      </c>
      <c r="M46" s="3">
        <f>'库存明细'!O30</f>
        <v/>
      </c>
      <c r="N46" s="3" t="n"/>
      <c r="O46" s="3" t="n"/>
      <c r="P46" s="3" t="n"/>
      <c r="Q46" s="3" t="n"/>
      <c r="R46" s="3" t="n"/>
      <c r="S46" s="3" t="n"/>
      <c r="T46" s="3" t="n"/>
      <c r="U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</sheetData>
  <mergeCells count="4">
    <mergeCell ref="B15:J15"/>
    <mergeCell ref="A1:U1"/>
    <mergeCell ref="B5:J5"/>
    <mergeCell ref="A2:U2"/>
  </mergeCells>
  <conditionalFormatting sqref="D7:D11">
    <cfRule type="cellIs" priority="1" operator="greaterThan" dxfId="0">
      <formula>0</formula>
    </cfRule>
  </conditionalFormatting>
  <dataValidations count="3">
    <dataValidation sqref="F3" showDropDown="0" showInputMessage="0" showErrorMessage="0" allowBlank="0" type="list">
      <formula1>"全部,大润发,盒马,华润,沃尔玛,永辉,天虹,比优特,家得福"</formula1>
    </dataValidation>
    <dataValidation sqref="I3" showDropDown="0" showInputMessage="0" showErrorMessage="0" allowBlank="0" type="list">
      <formula1>"全部,华东,华南,华北,华中,西北,东北"</formula1>
    </dataValidation>
    <dataValidation sqref="L3" showDropDown="0" showInputMessage="0" showErrorMessage="0" allowBlank="0" type="list">
      <formula1>"全部,上海,江苏,广东,北京,湖北,浙江,黑龙江,天津"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2" customWidth="1" min="5" max="5"/>
    <col width="24" customWidth="1" min="6" max="6"/>
    <col width="9" customWidth="1" min="7" max="7"/>
    <col width="14" customWidth="1" min="8" max="8"/>
    <col width="16" customWidth="1" min="9" max="9"/>
    <col width="32" customWidth="1" min="10" max="10"/>
    <col width="12" customWidth="1" min="11" max="11"/>
    <col width="10" customWidth="1" min="12" max="12"/>
    <col width="12" customWidth="1" min="13" max="13"/>
    <col width="13" customWidth="1" min="14" max="14"/>
    <col width="14" customWidth="1" min="15" max="15"/>
    <col width="10" customWidth="1" min="16" max="16"/>
    <col width="13" customWidth="1" min="17" max="17"/>
    <col width="20" customWidth="1" min="18" max="18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是否DC</t>
        </is>
      </c>
      <c r="H1" s="13" t="inlineStr">
        <is>
          <t>商品编码</t>
        </is>
      </c>
      <c r="I1" s="13" t="inlineStr">
        <is>
          <t>商品条码</t>
        </is>
      </c>
      <c r="J1" s="13" t="inlineStr">
        <is>
          <t>商品名称</t>
        </is>
      </c>
      <c r="K1" s="13" t="inlineStr">
        <is>
          <t>规格</t>
        </is>
      </c>
      <c r="L1" s="13" t="inlineStr">
        <is>
          <t>温层</t>
        </is>
      </c>
      <c r="M1" s="13" t="inlineStr">
        <is>
          <t>渠道</t>
        </is>
      </c>
      <c r="N1" s="13" t="inlineStr">
        <is>
          <t>销售数量</t>
        </is>
      </c>
      <c r="O1" s="13" t="inlineStr">
        <is>
          <t>销售金额</t>
        </is>
      </c>
      <c r="P1" s="13" t="inlineStr">
        <is>
          <t>含税口径</t>
        </is>
      </c>
      <c r="Q1" s="13" t="inlineStr">
        <is>
          <t>动销标记</t>
        </is>
      </c>
      <c r="R1" s="13" t="inlineStr">
        <is>
          <t>备注</t>
        </is>
      </c>
    </row>
    <row r="2">
      <c r="A2" s="14" t="n">
        <v>46166</v>
      </c>
      <c r="B2" s="15" t="inlineStr">
        <is>
          <t>大润发</t>
        </is>
      </c>
      <c r="C2" s="15" t="inlineStr">
        <is>
          <t>华东</t>
        </is>
      </c>
      <c r="D2" s="15" t="inlineStr">
        <is>
          <t>上海</t>
        </is>
      </c>
      <c r="E2" s="15" t="inlineStr">
        <is>
          <t>1001</t>
        </is>
      </c>
      <c r="F2" s="15" t="inlineStr">
        <is>
          <t>闸北店</t>
        </is>
      </c>
      <c r="G2" s="15" t="inlineStr">
        <is>
          <t>否</t>
        </is>
      </c>
      <c r="H2" s="15" t="inlineStr">
        <is>
          <t>4354168</t>
        </is>
      </c>
      <c r="I2" s="15" t="inlineStr">
        <is>
          <t>697000000001</t>
        </is>
      </c>
      <c r="J2" s="15" t="inlineStr">
        <is>
          <t>脱骨侠无骨鸡爪(柠檬味)</t>
        </is>
      </c>
      <c r="K2" s="15" t="inlineStr">
        <is>
          <t>158g/袋</t>
        </is>
      </c>
      <c r="L2" s="15" t="inlineStr">
        <is>
          <t>常温</t>
        </is>
      </c>
      <c r="M2" s="15" t="inlineStr">
        <is>
          <t>线下</t>
        </is>
      </c>
      <c r="N2" s="16" t="n">
        <v>210</v>
      </c>
      <c r="O2" s="16" t="n">
        <v>4675</v>
      </c>
      <c r="P2" s="15" t="inlineStr">
        <is>
          <t>含税</t>
        </is>
      </c>
      <c r="Q2" s="15" t="inlineStr">
        <is>
          <t>Y</t>
        </is>
      </c>
      <c r="R2" s="15" t="inlineStr"/>
    </row>
    <row r="3">
      <c r="A3" s="14" t="n">
        <v>46166</v>
      </c>
      <c r="B3" s="15" t="inlineStr">
        <is>
          <t>大润发</t>
        </is>
      </c>
      <c r="C3" s="15" t="inlineStr">
        <is>
          <t>华东</t>
        </is>
      </c>
      <c r="D3" s="15" t="inlineStr">
        <is>
          <t>江苏</t>
        </is>
      </c>
      <c r="E3" s="15" t="inlineStr">
        <is>
          <t>1002</t>
        </is>
      </c>
      <c r="F3" s="15" t="inlineStr">
        <is>
          <t>杨浦店</t>
        </is>
      </c>
      <c r="G3" s="15" t="inlineStr">
        <is>
          <t>否</t>
        </is>
      </c>
      <c r="H3" s="15" t="inlineStr">
        <is>
          <t>4354169</t>
        </is>
      </c>
      <c r="I3" s="15" t="inlineStr">
        <is>
          <t>697000000002</t>
        </is>
      </c>
      <c r="J3" s="15" t="inlineStr">
        <is>
          <t>脱骨侠无骨鸡爪(泡椒味)</t>
        </is>
      </c>
      <c r="K3" s="15" t="inlineStr">
        <is>
          <t>158g/袋</t>
        </is>
      </c>
      <c r="L3" s="15" t="inlineStr">
        <is>
          <t>常温</t>
        </is>
      </c>
      <c r="M3" s="15" t="inlineStr">
        <is>
          <t>京东到家</t>
        </is>
      </c>
      <c r="N3" s="16" t="n">
        <v>86</v>
      </c>
      <c r="O3" s="16" t="n">
        <v>1978</v>
      </c>
      <c r="P3" s="15" t="inlineStr">
        <is>
          <t>含税</t>
        </is>
      </c>
      <c r="Q3" s="15" t="inlineStr">
        <is>
          <t>Y</t>
        </is>
      </c>
      <c r="R3" s="15" t="inlineStr"/>
    </row>
    <row r="4">
      <c r="A4" s="14" t="n">
        <v>46167</v>
      </c>
      <c r="B4" s="15" t="inlineStr">
        <is>
          <t>大润发</t>
        </is>
      </c>
      <c r="C4" s="15" t="inlineStr">
        <is>
          <t>华南</t>
        </is>
      </c>
      <c r="D4" s="15" t="inlineStr">
        <is>
          <t>广东</t>
        </is>
      </c>
      <c r="E4" s="15" t="inlineStr">
        <is>
          <t>5001</t>
        </is>
      </c>
      <c r="F4" s="15" t="inlineStr">
        <is>
          <t>广州天河店</t>
        </is>
      </c>
      <c r="G4" s="15" t="inlineStr">
        <is>
          <t>否</t>
        </is>
      </c>
      <c r="H4" s="15" t="inlineStr">
        <is>
          <t>4502138</t>
        </is>
      </c>
      <c r="I4" s="15" t="inlineStr">
        <is>
          <t>697000000003</t>
        </is>
      </c>
      <c r="J4" s="15" t="inlineStr">
        <is>
          <t>脱骨侠虎皮凤爪(白松露味)</t>
        </is>
      </c>
      <c r="K4" s="15" t="inlineStr">
        <is>
          <t>220g/盒</t>
        </is>
      </c>
      <c r="L4" s="15" t="inlineStr">
        <is>
          <t>冷藏</t>
        </is>
      </c>
      <c r="M4" s="15" t="inlineStr">
        <is>
          <t>美团</t>
        </is>
      </c>
      <c r="N4" s="16" t="n">
        <v>134</v>
      </c>
      <c r="O4" s="16" t="n">
        <v>3350</v>
      </c>
      <c r="P4" s="15" t="inlineStr">
        <is>
          <t>含税</t>
        </is>
      </c>
      <c r="Q4" s="15" t="inlineStr">
        <is>
          <t>Y</t>
        </is>
      </c>
      <c r="R4" s="15" t="inlineStr"/>
    </row>
    <row r="5">
      <c r="A5" s="14" t="n">
        <v>46167</v>
      </c>
      <c r="B5" s="15" t="inlineStr">
        <is>
          <t>沃尔玛</t>
        </is>
      </c>
      <c r="C5" s="15" t="inlineStr">
        <is>
          <t>华南</t>
        </is>
      </c>
      <c r="D5" s="15" t="inlineStr">
        <is>
          <t>广东</t>
        </is>
      </c>
      <c r="E5" s="15" t="inlineStr">
        <is>
          <t>101</t>
        </is>
      </c>
      <c r="F5" s="15" t="inlineStr">
        <is>
          <t>沃尔玛广州天河店</t>
        </is>
      </c>
      <c r="G5" s="15" t="inlineStr">
        <is>
          <t>否</t>
        </is>
      </c>
      <c r="H5" s="15" t="inlineStr">
        <is>
          <t>25354863</t>
        </is>
      </c>
      <c r="I5" s="15" t="inlineStr">
        <is>
          <t>0697765695110</t>
        </is>
      </c>
      <c r="J5" s="15" t="inlineStr">
        <is>
          <t>常温脱骨侠无骨鸡爪柠檬</t>
        </is>
      </c>
      <c r="K5" s="15" t="inlineStr">
        <is>
          <t>158g/袋</t>
        </is>
      </c>
      <c r="L5" s="15" t="inlineStr">
        <is>
          <t>常温</t>
        </is>
      </c>
      <c r="M5" s="15" t="inlineStr">
        <is>
          <t>POS</t>
        </is>
      </c>
      <c r="N5" s="16" t="n">
        <v>190</v>
      </c>
      <c r="O5" s="16" t="n">
        <v>3800</v>
      </c>
      <c r="P5" s="15" t="inlineStr">
        <is>
          <t>未税</t>
        </is>
      </c>
      <c r="Q5" s="15" t="inlineStr">
        <is>
          <t>Y</t>
        </is>
      </c>
      <c r="R5" s="15" t="inlineStr"/>
    </row>
    <row r="6">
      <c r="A6" s="14" t="n">
        <v>46168</v>
      </c>
      <c r="B6" s="15" t="inlineStr">
        <is>
          <t>华润</t>
        </is>
      </c>
      <c r="C6" s="15" t="inlineStr">
        <is>
          <t>华北</t>
        </is>
      </c>
      <c r="D6" s="15" t="inlineStr">
        <is>
          <t>北京</t>
        </is>
      </c>
      <c r="E6" s="15" t="inlineStr">
        <is>
          <t>204392</t>
        </is>
      </c>
      <c r="F6" s="15" t="inlineStr">
        <is>
          <t>皇姑店</t>
        </is>
      </c>
      <c r="G6" s="15" t="inlineStr">
        <is>
          <t>否</t>
        </is>
      </c>
      <c r="H6" s="15" t="inlineStr">
        <is>
          <t>5150673</t>
        </is>
      </c>
      <c r="I6" s="15" t="inlineStr">
        <is>
          <t>6973883075622</t>
        </is>
      </c>
      <c r="J6" s="15" t="inlineStr">
        <is>
          <t>脱骨侠无骨鸡爪(柠檬味)158g</t>
        </is>
      </c>
      <c r="K6" s="15" t="inlineStr">
        <is>
          <t>158g/袋</t>
        </is>
      </c>
      <c r="L6" s="15" t="inlineStr">
        <is>
          <t>常温</t>
        </is>
      </c>
      <c r="M6" s="15" t="inlineStr">
        <is>
          <t>线下</t>
        </is>
      </c>
      <c r="N6" s="16" t="n">
        <v>150</v>
      </c>
      <c r="O6" s="16" t="n">
        <v>2895</v>
      </c>
      <c r="P6" s="15" t="inlineStr">
        <is>
          <t>含税</t>
        </is>
      </c>
      <c r="Q6" s="15" t="inlineStr">
        <is>
          <t>Y</t>
        </is>
      </c>
      <c r="R6" s="15" t="inlineStr"/>
    </row>
    <row r="7">
      <c r="A7" s="14" t="n">
        <v>46168</v>
      </c>
      <c r="B7" s="15" t="inlineStr">
        <is>
          <t>盒马</t>
        </is>
      </c>
      <c r="C7" s="15" t="inlineStr">
        <is>
          <t>华中</t>
        </is>
      </c>
      <c r="D7" s="15" t="inlineStr">
        <is>
          <t>湖北</t>
        </is>
      </c>
      <c r="E7" s="15" t="inlineStr">
        <is>
          <t>HM001</t>
        </is>
      </c>
      <c r="F7" s="15" t="inlineStr">
        <is>
          <t>武汉珞狮路店</t>
        </is>
      </c>
      <c r="G7" s="15" t="inlineStr">
        <is>
          <t>否</t>
        </is>
      </c>
      <c r="H7" s="15" t="inlineStr">
        <is>
          <t>431448153</t>
        </is>
      </c>
      <c r="I7" s="15" t="inlineStr">
        <is>
          <t>6973883075387</t>
        </is>
      </c>
      <c r="J7" s="15" t="inlineStr">
        <is>
          <t>盒马工坊 蒜香无骨鸡爪 230g</t>
        </is>
      </c>
      <c r="K7" s="15" t="inlineStr">
        <is>
          <t>230g/盒</t>
        </is>
      </c>
      <c r="L7" s="15" t="inlineStr">
        <is>
          <t>冷藏</t>
        </is>
      </c>
      <c r="M7" s="15" t="inlineStr">
        <is>
          <t>POS</t>
        </is>
      </c>
      <c r="N7" s="16" t="n">
        <v>980</v>
      </c>
      <c r="O7" s="16" t="n">
        <v>12740</v>
      </c>
      <c r="P7" s="15" t="inlineStr">
        <is>
          <t>含税</t>
        </is>
      </c>
      <c r="Q7" s="15" t="inlineStr">
        <is>
          <t>Y</t>
        </is>
      </c>
      <c r="R7" s="15" t="inlineStr"/>
    </row>
    <row r="8">
      <c r="A8" s="14" t="n">
        <v>46169</v>
      </c>
      <c r="B8" s="15" t="inlineStr">
        <is>
          <t>永辉</t>
        </is>
      </c>
      <c r="C8" s="15" t="inlineStr">
        <is>
          <t>华东</t>
        </is>
      </c>
      <c r="D8" s="15" t="inlineStr">
        <is>
          <t>浙江</t>
        </is>
      </c>
      <c r="E8" s="15" t="inlineStr">
        <is>
          <t>9626</t>
        </is>
      </c>
      <c r="F8" s="15" t="inlineStr">
        <is>
          <t>滨江区龙湖天街店</t>
        </is>
      </c>
      <c r="G8" s="15" t="inlineStr">
        <is>
          <t>否</t>
        </is>
      </c>
      <c r="H8" s="15" t="inlineStr">
        <is>
          <t>1830795</t>
        </is>
      </c>
      <c r="I8" s="15" t="inlineStr">
        <is>
          <t>6973883073277</t>
        </is>
      </c>
      <c r="J8" s="15" t="inlineStr">
        <is>
          <t>脱骨侠蒜香酸甜辣无骨鸡爪780g</t>
        </is>
      </c>
      <c r="K8" s="15" t="inlineStr">
        <is>
          <t>780g/罐</t>
        </is>
      </c>
      <c r="L8" s="15" t="inlineStr">
        <is>
          <t>冷藏</t>
        </is>
      </c>
      <c r="M8" s="15" t="inlineStr">
        <is>
          <t>POS</t>
        </is>
      </c>
      <c r="N8" s="16" t="n">
        <v>52</v>
      </c>
      <c r="O8" s="16" t="n">
        <v>2225</v>
      </c>
      <c r="P8" s="15" t="inlineStr">
        <is>
          <t>含税</t>
        </is>
      </c>
      <c r="Q8" s="15" t="inlineStr">
        <is>
          <t>Y</t>
        </is>
      </c>
      <c r="R8" s="15" t="inlineStr"/>
    </row>
    <row r="9">
      <c r="A9" s="14" t="n">
        <v>46169</v>
      </c>
      <c r="B9" s="15" t="inlineStr">
        <is>
          <t>天虹</t>
        </is>
      </c>
      <c r="C9" s="15" t="inlineStr">
        <is>
          <t>华南</t>
        </is>
      </c>
      <c r="D9" s="15" t="inlineStr">
        <is>
          <t>广东</t>
        </is>
      </c>
      <c r="E9" s="15" t="inlineStr">
        <is>
          <t>104</t>
        </is>
      </c>
      <c r="F9" s="15" t="inlineStr">
        <is>
          <t>深圳创业天虹</t>
        </is>
      </c>
      <c r="G9" s="15" t="inlineStr">
        <is>
          <t>否</t>
        </is>
      </c>
      <c r="H9" s="15" t="inlineStr">
        <is>
          <t>v000110869</t>
        </is>
      </c>
      <c r="I9" s="15" t="inlineStr">
        <is>
          <t>6977656954114</t>
        </is>
      </c>
      <c r="J9" s="15" t="inlineStr">
        <is>
          <t>脱骨侠双椒无骨鸭掌</t>
        </is>
      </c>
      <c r="K9" s="15" t="inlineStr">
        <is>
          <t>320g/袋</t>
        </is>
      </c>
      <c r="L9" s="15" t="inlineStr">
        <is>
          <t>冷藏</t>
        </is>
      </c>
      <c r="M9" s="15" t="inlineStr">
        <is>
          <t>天虹到家</t>
        </is>
      </c>
      <c r="N9" s="16" t="n">
        <v>72</v>
      </c>
      <c r="O9" s="16" t="n">
        <v>2729</v>
      </c>
      <c r="P9" s="15" t="inlineStr">
        <is>
          <t>含税</t>
        </is>
      </c>
      <c r="Q9" s="15" t="inlineStr">
        <is>
          <t>Y</t>
        </is>
      </c>
      <c r="R9" s="15" t="inlineStr"/>
    </row>
    <row r="10">
      <c r="A10" s="14" t="n">
        <v>46170</v>
      </c>
      <c r="B10" s="15" t="inlineStr">
        <is>
          <t>比优特</t>
        </is>
      </c>
      <c r="C10" s="15" t="inlineStr">
        <is>
          <t>东北</t>
        </is>
      </c>
      <c r="D10" s="15" t="inlineStr">
        <is>
          <t>黑龙江</t>
        </is>
      </c>
      <c r="E10" s="15" t="inlineStr">
        <is>
          <t>2201</t>
        </is>
      </c>
      <c r="F10" s="15" t="inlineStr">
        <is>
          <t>麓林山店</t>
        </is>
      </c>
      <c r="G10" s="15" t="inlineStr">
        <is>
          <t>否</t>
        </is>
      </c>
      <c r="H10" s="15" t="inlineStr">
        <is>
          <t>1156752</t>
        </is>
      </c>
      <c r="I10" s="15" t="inlineStr">
        <is>
          <t>6973883073277</t>
        </is>
      </c>
      <c r="J10" s="15" t="inlineStr">
        <is>
          <t>脱骨侠无骨鸡爪蒜香酸甜辣780g</t>
        </is>
      </c>
      <c r="K10" s="15" t="inlineStr">
        <is>
          <t>780g/罐</t>
        </is>
      </c>
      <c r="L10" s="15" t="inlineStr">
        <is>
          <t>冷藏</t>
        </is>
      </c>
      <c r="M10" s="15" t="inlineStr">
        <is>
          <t>POS</t>
        </is>
      </c>
      <c r="N10" s="16" t="n">
        <v>18</v>
      </c>
      <c r="O10" s="16" t="n">
        <v>629</v>
      </c>
      <c r="P10" s="15" t="inlineStr">
        <is>
          <t>含税</t>
        </is>
      </c>
      <c r="Q10" s="15" t="inlineStr">
        <is>
          <t>Y</t>
        </is>
      </c>
      <c r="R10" s="15" t="inlineStr"/>
    </row>
    <row r="11">
      <c r="A11" s="14" t="n">
        <v>46170</v>
      </c>
      <c r="B11" s="15" t="inlineStr">
        <is>
          <t>家得福</t>
        </is>
      </c>
      <c r="C11" s="15" t="inlineStr">
        <is>
          <t>华东</t>
        </is>
      </c>
      <c r="D11" s="15" t="inlineStr">
        <is>
          <t>江苏</t>
        </is>
      </c>
      <c r="E11" s="15" t="inlineStr">
        <is>
          <t>1001</t>
        </is>
      </c>
      <c r="F11" s="15" t="inlineStr">
        <is>
          <t>家得福海棠店</t>
        </is>
      </c>
      <c r="G11" s="15" t="inlineStr">
        <is>
          <t>否</t>
        </is>
      </c>
      <c r="H11" s="15" t="inlineStr">
        <is>
          <t>10081319</t>
        </is>
      </c>
      <c r="I11" s="15" t="inlineStr">
        <is>
          <t>6973883073284</t>
        </is>
      </c>
      <c r="J11" s="15" t="inlineStr">
        <is>
          <t>脱骨侠酸辣柠檬无骨鸡爪780g</t>
        </is>
      </c>
      <c r="K11" s="15" t="inlineStr">
        <is>
          <t>780g/罐</t>
        </is>
      </c>
      <c r="L11" s="15" t="inlineStr">
        <is>
          <t>冷藏</t>
        </is>
      </c>
      <c r="M11" s="15" t="inlineStr">
        <is>
          <t>POS</t>
        </is>
      </c>
      <c r="N11" s="16" t="n">
        <v>35</v>
      </c>
      <c r="O11" s="16" t="n">
        <v>1033</v>
      </c>
      <c r="P11" s="15" t="inlineStr">
        <is>
          <t>含税</t>
        </is>
      </c>
      <c r="Q11" s="15" t="inlineStr">
        <is>
          <t>Y</t>
        </is>
      </c>
      <c r="R11" s="15" t="inlineStr"/>
    </row>
    <row r="12">
      <c r="A12" s="14" t="n">
        <v>46171</v>
      </c>
      <c r="B12" s="15" t="inlineStr">
        <is>
          <t>大润发</t>
        </is>
      </c>
      <c r="C12" s="15" t="inlineStr">
        <is>
          <t>华北</t>
        </is>
      </c>
      <c r="D12" s="15" t="inlineStr">
        <is>
          <t>天津</t>
        </is>
      </c>
      <c r="E12" s="15" t="inlineStr">
        <is>
          <t>6001</t>
        </is>
      </c>
      <c r="F12" s="15" t="inlineStr">
        <is>
          <t>天津南开店</t>
        </is>
      </c>
      <c r="G12" s="15" t="inlineStr">
        <is>
          <t>否</t>
        </is>
      </c>
      <c r="H12" s="15" t="inlineStr">
        <is>
          <t>4354172</t>
        </is>
      </c>
      <c r="I12" s="15" t="inlineStr">
        <is>
          <t>697000000004</t>
        </is>
      </c>
      <c r="J12" s="15" t="inlineStr">
        <is>
          <t>脱骨侠盐焗鸡爪</t>
        </is>
      </c>
      <c r="K12" s="15" t="inlineStr">
        <is>
          <t>138g/袋</t>
        </is>
      </c>
      <c r="L12" s="15" t="inlineStr">
        <is>
          <t>常温</t>
        </is>
      </c>
      <c r="M12" s="15" t="inlineStr">
        <is>
          <t>线下</t>
        </is>
      </c>
      <c r="N12" s="16" t="n">
        <v>98</v>
      </c>
      <c r="O12" s="16" t="n">
        <v>1421</v>
      </c>
      <c r="P12" s="15" t="inlineStr">
        <is>
          <t>含税</t>
        </is>
      </c>
      <c r="Q12" s="15" t="inlineStr">
        <is>
          <t>Y</t>
        </is>
      </c>
      <c r="R12" s="15" t="inlineStr"/>
    </row>
    <row r="13">
      <c r="A13" s="14" t="n">
        <v>46171</v>
      </c>
      <c r="B13" s="15" t="inlineStr">
        <is>
          <t>沃尔玛</t>
        </is>
      </c>
      <c r="C13" s="15" t="inlineStr">
        <is>
          <t>华东</t>
        </is>
      </c>
      <c r="D13" s="15" t="inlineStr">
        <is>
          <t>浙江</t>
        </is>
      </c>
      <c r="E13" s="15" t="inlineStr">
        <is>
          <t>2470</t>
        </is>
      </c>
      <c r="F13" s="15" t="inlineStr">
        <is>
          <t>沃尔玛赤峰玉龙大街店</t>
        </is>
      </c>
      <c r="G13" s="15" t="inlineStr">
        <is>
          <t>否</t>
        </is>
      </c>
      <c r="H13" s="15" t="inlineStr">
        <is>
          <t>25325573</t>
        </is>
      </c>
      <c r="I13" s="15" t="inlineStr">
        <is>
          <t>0697388307468</t>
        </is>
      </c>
      <c r="J13" s="15" t="inlineStr">
        <is>
          <t>冷藏蒜香凤爪</t>
        </is>
      </c>
      <c r="K13" s="15" t="inlineStr">
        <is>
          <t>230g/盒</t>
        </is>
      </c>
      <c r="L13" s="15" t="inlineStr">
        <is>
          <t>冷藏</t>
        </is>
      </c>
      <c r="M13" s="15" t="inlineStr">
        <is>
          <t>POS</t>
        </is>
      </c>
      <c r="N13" s="16" t="n">
        <v>79</v>
      </c>
      <c r="O13" s="16" t="n">
        <v>2500</v>
      </c>
      <c r="P13" s="15" t="inlineStr">
        <is>
          <t>未税</t>
        </is>
      </c>
      <c r="Q13" s="15" t="inlineStr">
        <is>
          <t>Y</t>
        </is>
      </c>
      <c r="R13" s="15" t="inlineStr"/>
    </row>
    <row r="14">
      <c r="A14" s="14" t="n">
        <v>46172</v>
      </c>
      <c r="B14" s="15" t="inlineStr">
        <is>
          <t>大润发</t>
        </is>
      </c>
      <c r="C14" s="15" t="inlineStr">
        <is>
          <t>华东</t>
        </is>
      </c>
      <c r="D14" s="15" t="inlineStr">
        <is>
          <t>上海</t>
        </is>
      </c>
      <c r="E14" s="15" t="inlineStr">
        <is>
          <t>1001</t>
        </is>
      </c>
      <c r="F14" s="15" t="inlineStr">
        <is>
          <t>闸北店</t>
        </is>
      </c>
      <c r="G14" s="15" t="inlineStr">
        <is>
          <t>否</t>
        </is>
      </c>
      <c r="H14" s="15" t="inlineStr">
        <is>
          <t>4354168</t>
        </is>
      </c>
      <c r="I14" s="15" t="inlineStr">
        <is>
          <t>697000000001</t>
        </is>
      </c>
      <c r="J14" s="15" t="inlineStr">
        <is>
          <t>脱骨侠无骨鸡爪(柠檬味)</t>
        </is>
      </c>
      <c r="K14" s="15" t="inlineStr">
        <is>
          <t>158g/袋</t>
        </is>
      </c>
      <c r="L14" s="15" t="inlineStr">
        <is>
          <t>常温</t>
        </is>
      </c>
      <c r="M14" s="15" t="inlineStr">
        <is>
          <t>线下</t>
        </is>
      </c>
      <c r="N14" s="16" t="n">
        <v>235</v>
      </c>
      <c r="O14" s="16" t="n">
        <v>5235</v>
      </c>
      <c r="P14" s="15" t="inlineStr">
        <is>
          <t>含税</t>
        </is>
      </c>
      <c r="Q14" s="15" t="inlineStr">
        <is>
          <t>Y</t>
        </is>
      </c>
      <c r="R14" s="15" t="inlineStr"/>
    </row>
    <row r="15">
      <c r="A15" s="14" t="n">
        <v>46172</v>
      </c>
      <c r="B15" s="15" t="inlineStr">
        <is>
          <t>盒马</t>
        </is>
      </c>
      <c r="C15" s="15" t="inlineStr">
        <is>
          <t>华中</t>
        </is>
      </c>
      <c r="D15" s="15" t="inlineStr">
        <is>
          <t>湖北</t>
        </is>
      </c>
      <c r="E15" s="15" t="inlineStr">
        <is>
          <t>HM001</t>
        </is>
      </c>
      <c r="F15" s="15" t="inlineStr">
        <is>
          <t>武汉珞狮路店</t>
        </is>
      </c>
      <c r="G15" s="15" t="inlineStr">
        <is>
          <t>否</t>
        </is>
      </c>
      <c r="H15" s="15" t="inlineStr">
        <is>
          <t>431448153</t>
        </is>
      </c>
      <c r="I15" s="15" t="inlineStr">
        <is>
          <t>6973883075387</t>
        </is>
      </c>
      <c r="J15" s="15" t="inlineStr">
        <is>
          <t>盒马工坊 蒜香无骨鸡爪 230g</t>
        </is>
      </c>
      <c r="K15" s="15" t="inlineStr">
        <is>
          <t>230g/盒</t>
        </is>
      </c>
      <c r="L15" s="15" t="inlineStr">
        <is>
          <t>冷藏</t>
        </is>
      </c>
      <c r="M15" s="15" t="inlineStr">
        <is>
          <t>POS</t>
        </is>
      </c>
      <c r="N15" s="16" t="n">
        <v>1100</v>
      </c>
      <c r="O15" s="16" t="n">
        <v>14300</v>
      </c>
      <c r="P15" s="15" t="inlineStr">
        <is>
          <t>含税</t>
        </is>
      </c>
      <c r="Q15" s="15" t="inlineStr">
        <is>
          <t>Y</t>
        </is>
      </c>
      <c r="R15" s="15" t="inlineStr"/>
    </row>
    <row r="16">
      <c r="A16" s="14" t="n">
        <v>46172</v>
      </c>
      <c r="B16" s="15" t="inlineStr">
        <is>
          <t>天虹</t>
        </is>
      </c>
      <c r="C16" s="15" t="inlineStr">
        <is>
          <t>华南</t>
        </is>
      </c>
      <c r="D16" s="15" t="inlineStr">
        <is>
          <t>广东</t>
        </is>
      </c>
      <c r="E16" s="15" t="inlineStr">
        <is>
          <t>104</t>
        </is>
      </c>
      <c r="F16" s="15" t="inlineStr">
        <is>
          <t>深圳创业天虹</t>
        </is>
      </c>
      <c r="G16" s="15" t="inlineStr">
        <is>
          <t>否</t>
        </is>
      </c>
      <c r="H16" s="15" t="inlineStr">
        <is>
          <t>v000110869</t>
        </is>
      </c>
      <c r="I16" s="15" t="inlineStr">
        <is>
          <t>6977656954114</t>
        </is>
      </c>
      <c r="J16" s="15" t="inlineStr">
        <is>
          <t>脱骨侠双椒无骨鸭掌</t>
        </is>
      </c>
      <c r="K16" s="15" t="inlineStr">
        <is>
          <t>320g/袋</t>
        </is>
      </c>
      <c r="L16" s="15" t="inlineStr">
        <is>
          <t>冷藏</t>
        </is>
      </c>
      <c r="M16" s="15" t="inlineStr">
        <is>
          <t>京东到家</t>
        </is>
      </c>
      <c r="N16" s="16" t="n">
        <v>88</v>
      </c>
      <c r="O16" s="16" t="n">
        <v>3335</v>
      </c>
      <c r="P16" s="15" t="inlineStr">
        <is>
          <t>含税</t>
        </is>
      </c>
      <c r="Q16" s="15" t="inlineStr">
        <is>
          <t>Y</t>
        </is>
      </c>
      <c r="R16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2" customWidth="1" min="5" max="5"/>
    <col width="24" customWidth="1" min="6" max="6"/>
    <col width="9" customWidth="1" min="7" max="7"/>
    <col width="14" customWidth="1" min="8" max="8"/>
    <col width="32" customWidth="1" min="9" max="9"/>
    <col width="12" customWidth="1" min="10" max="10"/>
    <col width="13" customWidth="1" min="11" max="11"/>
    <col width="13" customWidth="1" min="12" max="12"/>
    <col width="14" customWidth="1" min="13" max="13"/>
    <col width="12" customWidth="1" min="14" max="14"/>
    <col width="13" customWidth="1" min="15" max="15"/>
    <col width="20" customWidth="1" min="16" max="16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是否DC</t>
        </is>
      </c>
      <c r="H1" s="13" t="inlineStr">
        <is>
          <t>商品编码</t>
        </is>
      </c>
      <c r="I1" s="13" t="inlineStr">
        <is>
          <t>商品名称</t>
        </is>
      </c>
      <c r="J1" s="13" t="inlineStr">
        <is>
          <t>门店库存</t>
        </is>
      </c>
      <c r="K1" s="13" t="inlineStr">
        <is>
          <t>DC库存</t>
        </is>
      </c>
      <c r="L1" s="13" t="inlineStr">
        <is>
          <t>在途/待收</t>
        </is>
      </c>
      <c r="M1" s="13" t="inlineStr">
        <is>
          <t>近7日平均销量</t>
        </is>
      </c>
      <c r="N1" s="13" t="inlineStr">
        <is>
          <t>周转天数</t>
        </is>
      </c>
      <c r="O1" s="13" t="inlineStr">
        <is>
          <t>是否超60天</t>
        </is>
      </c>
      <c r="P1" s="13" t="inlineStr">
        <is>
          <t>备注</t>
        </is>
      </c>
    </row>
    <row r="2">
      <c r="A2" s="14" t="n">
        <v>46172</v>
      </c>
      <c r="B2" s="15" t="inlineStr">
        <is>
          <t>大润发</t>
        </is>
      </c>
      <c r="C2" s="15" t="inlineStr">
        <is>
          <t>华东</t>
        </is>
      </c>
      <c r="D2" s="15" t="inlineStr">
        <is>
          <t>上海</t>
        </is>
      </c>
      <c r="E2" s="15" t="inlineStr">
        <is>
          <t>1001</t>
        </is>
      </c>
      <c r="F2" s="15" t="inlineStr">
        <is>
          <t>闸北店</t>
        </is>
      </c>
      <c r="G2" s="15" t="inlineStr">
        <is>
          <t>否</t>
        </is>
      </c>
      <c r="H2" s="15" t="inlineStr">
        <is>
          <t>4354168</t>
        </is>
      </c>
      <c r="I2" s="15" t="inlineStr">
        <is>
          <t>脱骨侠无骨鸡爪(柠檬味)</t>
        </is>
      </c>
      <c r="J2" s="17" t="n">
        <v>15089</v>
      </c>
      <c r="K2" s="17" t="n">
        <v>1950</v>
      </c>
      <c r="L2" s="17" t="n">
        <v>725</v>
      </c>
      <c r="M2" s="17" t="n">
        <v>620</v>
      </c>
      <c r="N2" s="17">
        <f>IFERROR(J2/M2,"")</f>
        <v/>
      </c>
      <c r="O2" s="15">
        <f>IF(N2="","",IF(N2&gt;60,"Y","N"))</f>
        <v/>
      </c>
      <c r="P2" s="15" t="inlineStr"/>
    </row>
    <row r="3">
      <c r="A3" s="14" t="n">
        <v>46172</v>
      </c>
      <c r="B3" s="15" t="inlineStr">
        <is>
          <t>大润发</t>
        </is>
      </c>
      <c r="C3" s="15" t="inlineStr">
        <is>
          <t>华南</t>
        </is>
      </c>
      <c r="D3" s="15" t="inlineStr">
        <is>
          <t>广东</t>
        </is>
      </c>
      <c r="E3" s="15" t="inlineStr">
        <is>
          <t>5001</t>
        </is>
      </c>
      <c r="F3" s="15" t="inlineStr">
        <is>
          <t>广州天河店</t>
        </is>
      </c>
      <c r="G3" s="15" t="inlineStr">
        <is>
          <t>否</t>
        </is>
      </c>
      <c r="H3" s="15" t="inlineStr">
        <is>
          <t>4502138</t>
        </is>
      </c>
      <c r="I3" s="15" t="inlineStr">
        <is>
          <t>脱骨侠虎皮凤爪(白松露味)</t>
        </is>
      </c>
      <c r="J3" s="17" t="n">
        <v>13619</v>
      </c>
      <c r="K3" s="17" t="n">
        <v>1250</v>
      </c>
      <c r="L3" s="17" t="n">
        <v>550</v>
      </c>
      <c r="M3" s="17" t="n">
        <v>210</v>
      </c>
      <c r="N3" s="17">
        <f>IFERROR(J3/M3,"")</f>
        <v/>
      </c>
      <c r="O3" s="15">
        <f>IF(N3="","",IF(N3&gt;60,"Y","N"))</f>
        <v/>
      </c>
      <c r="P3" s="15" t="inlineStr"/>
    </row>
    <row r="4">
      <c r="A4" s="14" t="n">
        <v>46172</v>
      </c>
      <c r="B4" s="15" t="inlineStr">
        <is>
          <t>沃尔玛</t>
        </is>
      </c>
      <c r="C4" s="15" t="inlineStr">
        <is>
          <t>华南</t>
        </is>
      </c>
      <c r="D4" s="15" t="inlineStr">
        <is>
          <t>广东</t>
        </is>
      </c>
      <c r="E4" s="15" t="inlineStr">
        <is>
          <t>101</t>
        </is>
      </c>
      <c r="F4" s="15" t="inlineStr">
        <is>
          <t>沃尔玛广州天河店</t>
        </is>
      </c>
      <c r="G4" s="15" t="inlineStr">
        <is>
          <t>否</t>
        </is>
      </c>
      <c r="H4" s="15" t="inlineStr">
        <is>
          <t>25354863</t>
        </is>
      </c>
      <c r="I4" s="15" t="inlineStr">
        <is>
          <t>常温脱骨侠无骨鸡爪柠檬</t>
        </is>
      </c>
      <c r="J4" s="17" t="n">
        <v>30943</v>
      </c>
      <c r="K4" s="17" t="n">
        <v>0</v>
      </c>
      <c r="L4" s="17" t="n">
        <v>840</v>
      </c>
      <c r="M4" s="17" t="n">
        <v>1408</v>
      </c>
      <c r="N4" s="17">
        <f>IFERROR(J4/M4,"")</f>
        <v/>
      </c>
      <c r="O4" s="15">
        <f>IF(N4="","",IF(N4&gt;60,"Y","N"))</f>
        <v/>
      </c>
      <c r="P4" s="15" t="inlineStr"/>
    </row>
    <row r="5">
      <c r="A5" s="14" t="n">
        <v>46172</v>
      </c>
      <c r="B5" s="15" t="inlineStr">
        <is>
          <t>华润</t>
        </is>
      </c>
      <c r="C5" s="15" t="inlineStr">
        <is>
          <t>华北</t>
        </is>
      </c>
      <c r="D5" s="15" t="inlineStr">
        <is>
          <t>北京</t>
        </is>
      </c>
      <c r="E5" s="15" t="inlineStr">
        <is>
          <t>204392</t>
        </is>
      </c>
      <c r="F5" s="15" t="inlineStr">
        <is>
          <t>皇姑店</t>
        </is>
      </c>
      <c r="G5" s="15" t="inlineStr">
        <is>
          <t>否</t>
        </is>
      </c>
      <c r="H5" s="15" t="inlineStr">
        <is>
          <t>5150673</t>
        </is>
      </c>
      <c r="I5" s="15" t="inlineStr">
        <is>
          <t>脱骨侠无骨鸡爪(柠檬味)158g</t>
        </is>
      </c>
      <c r="J5" s="17" t="n">
        <v>5233</v>
      </c>
      <c r="K5" s="17" t="n">
        <v>0</v>
      </c>
      <c r="L5" s="17" t="n">
        <v>0</v>
      </c>
      <c r="M5" s="17" t="n">
        <v>245</v>
      </c>
      <c r="N5" s="17">
        <f>IFERROR(J5/M5,"")</f>
        <v/>
      </c>
      <c r="O5" s="15">
        <f>IF(N5="","",IF(N5&gt;60,"Y","N"))</f>
        <v/>
      </c>
      <c r="P5" s="15" t="inlineStr"/>
    </row>
    <row r="6">
      <c r="A6" s="14" t="n">
        <v>46172</v>
      </c>
      <c r="B6" s="15" t="inlineStr">
        <is>
          <t>盒马</t>
        </is>
      </c>
      <c r="C6" s="15" t="inlineStr">
        <is>
          <t>华中</t>
        </is>
      </c>
      <c r="D6" s="15" t="inlineStr">
        <is>
          <t>湖北</t>
        </is>
      </c>
      <c r="E6" s="15" t="inlineStr">
        <is>
          <t>HM001</t>
        </is>
      </c>
      <c r="F6" s="15" t="inlineStr">
        <is>
          <t>武汉珞狮路店</t>
        </is>
      </c>
      <c r="G6" s="15" t="inlineStr">
        <is>
          <t>否</t>
        </is>
      </c>
      <c r="H6" s="15" t="inlineStr">
        <is>
          <t>431448153</t>
        </is>
      </c>
      <c r="I6" s="15" t="inlineStr">
        <is>
          <t>盒马工坊 蒜香无骨鸡爪 230g</t>
        </is>
      </c>
      <c r="J6" s="17" t="n">
        <v>94942</v>
      </c>
      <c r="K6" s="17" t="n">
        <v>0</v>
      </c>
      <c r="L6" s="17" t="n">
        <v>21250</v>
      </c>
      <c r="M6" s="17" t="n">
        <v>20146</v>
      </c>
      <c r="N6" s="17">
        <f>IFERROR(J6/M6,"")</f>
        <v/>
      </c>
      <c r="O6" s="15">
        <f>IF(N6="","",IF(N6&gt;60,"Y","N"))</f>
        <v/>
      </c>
      <c r="P6" s="15" t="inlineStr"/>
    </row>
    <row r="7">
      <c r="A7" s="14" t="n">
        <v>46172</v>
      </c>
      <c r="B7" s="15" t="inlineStr">
        <is>
          <t>永辉</t>
        </is>
      </c>
      <c r="C7" s="15" t="inlineStr">
        <is>
          <t>华东</t>
        </is>
      </c>
      <c r="D7" s="15" t="inlineStr">
        <is>
          <t>浙江</t>
        </is>
      </c>
      <c r="E7" s="15" t="inlineStr">
        <is>
          <t>9626</t>
        </is>
      </c>
      <c r="F7" s="15" t="inlineStr">
        <is>
          <t>滨江区龙湖天街店</t>
        </is>
      </c>
      <c r="G7" s="15" t="inlineStr">
        <is>
          <t>否</t>
        </is>
      </c>
      <c r="H7" s="15" t="inlineStr">
        <is>
          <t>1830795</t>
        </is>
      </c>
      <c r="I7" s="15" t="inlineStr">
        <is>
          <t>脱骨侠蒜香酸甜辣无骨鸡爪780g</t>
        </is>
      </c>
      <c r="J7" s="17" t="n">
        <v>74</v>
      </c>
      <c r="K7" s="17" t="n">
        <v>0</v>
      </c>
      <c r="L7" s="17" t="n">
        <v>0</v>
      </c>
      <c r="M7" s="17" t="n">
        <v>7</v>
      </c>
      <c r="N7" s="17">
        <f>IFERROR(J7/M7,"")</f>
        <v/>
      </c>
      <c r="O7" s="15">
        <f>IF(N7="","",IF(N7&gt;60,"Y","N"))</f>
        <v/>
      </c>
      <c r="P7" s="15" t="inlineStr"/>
    </row>
    <row r="8">
      <c r="A8" s="14" t="n">
        <v>46172</v>
      </c>
      <c r="B8" s="15" t="inlineStr">
        <is>
          <t>天虹</t>
        </is>
      </c>
      <c r="C8" s="15" t="inlineStr">
        <is>
          <t>华南</t>
        </is>
      </c>
      <c r="D8" s="15" t="inlineStr">
        <is>
          <t>广东</t>
        </is>
      </c>
      <c r="E8" s="15" t="inlineStr">
        <is>
          <t>104</t>
        </is>
      </c>
      <c r="F8" s="15" t="inlineStr">
        <is>
          <t>深圳创业天虹</t>
        </is>
      </c>
      <c r="G8" s="15" t="inlineStr">
        <is>
          <t>否</t>
        </is>
      </c>
      <c r="H8" s="15" t="inlineStr">
        <is>
          <t>v000110869</t>
        </is>
      </c>
      <c r="I8" s="15" t="inlineStr">
        <is>
          <t>脱骨侠双椒无骨鸭掌</t>
        </is>
      </c>
      <c r="J8" s="17" t="n">
        <v>5444</v>
      </c>
      <c r="K8" s="17" t="n">
        <v>0</v>
      </c>
      <c r="L8" s="17" t="n">
        <v>0</v>
      </c>
      <c r="M8" s="17" t="n">
        <v>129</v>
      </c>
      <c r="N8" s="17">
        <f>IFERROR(J8/M8,"")</f>
        <v/>
      </c>
      <c r="O8" s="15">
        <f>IF(N8="","",IF(N8&gt;60,"Y","N"))</f>
        <v/>
      </c>
      <c r="P8" s="15" t="inlineStr"/>
    </row>
    <row r="9">
      <c r="A9" s="14" t="n">
        <v>46172</v>
      </c>
      <c r="B9" s="15" t="inlineStr">
        <is>
          <t>比优特</t>
        </is>
      </c>
      <c r="C9" s="15" t="inlineStr">
        <is>
          <t>东北</t>
        </is>
      </c>
      <c r="D9" s="15" t="inlineStr">
        <is>
          <t>黑龙江</t>
        </is>
      </c>
      <c r="E9" s="15" t="inlineStr">
        <is>
          <t>2201</t>
        </is>
      </c>
      <c r="F9" s="15" t="inlineStr">
        <is>
          <t>麓林山店</t>
        </is>
      </c>
      <c r="G9" s="15" t="inlineStr">
        <is>
          <t>否</t>
        </is>
      </c>
      <c r="H9" s="15" t="inlineStr">
        <is>
          <t>1156752</t>
        </is>
      </c>
      <c r="I9" s="15" t="inlineStr">
        <is>
          <t>脱骨侠无骨鸡爪蒜香酸甜辣780g</t>
        </is>
      </c>
      <c r="J9" s="17" t="n">
        <v>15925</v>
      </c>
      <c r="K9" s="17" t="n">
        <v>0</v>
      </c>
      <c r="L9" s="17" t="n">
        <v>0</v>
      </c>
      <c r="M9" s="17" t="n">
        <v>31</v>
      </c>
      <c r="N9" s="17">
        <f>IFERROR(J9/M9,"")</f>
        <v/>
      </c>
      <c r="O9" s="15">
        <f>IF(N9="","",IF(N9&gt;60,"Y","N"))</f>
        <v/>
      </c>
      <c r="P9" s="15" t="inlineStr"/>
    </row>
    <row r="10">
      <c r="A10" s="14" t="n">
        <v>46172</v>
      </c>
      <c r="B10" s="15" t="inlineStr">
        <is>
          <t>家得福</t>
        </is>
      </c>
      <c r="C10" s="15" t="inlineStr">
        <is>
          <t>华东</t>
        </is>
      </c>
      <c r="D10" s="15" t="inlineStr">
        <is>
          <t>江苏</t>
        </is>
      </c>
      <c r="E10" s="15" t="inlineStr">
        <is>
          <t>1001</t>
        </is>
      </c>
      <c r="F10" s="15" t="inlineStr">
        <is>
          <t>家得福海棠店</t>
        </is>
      </c>
      <c r="G10" s="15" t="inlineStr">
        <is>
          <t>否</t>
        </is>
      </c>
      <c r="H10" s="15" t="inlineStr">
        <is>
          <t>10081319</t>
        </is>
      </c>
      <c r="I10" s="15" t="inlineStr">
        <is>
          <t>脱骨侠酸辣柠檬无骨鸡爪780g</t>
        </is>
      </c>
      <c r="J10" s="17" t="n">
        <v>315</v>
      </c>
      <c r="K10" s="17" t="n">
        <v>0</v>
      </c>
      <c r="L10" s="17" t="n">
        <v>0</v>
      </c>
      <c r="M10" s="17" t="n">
        <v>6</v>
      </c>
      <c r="N10" s="17">
        <f>IFERROR(J10/M10,"")</f>
        <v/>
      </c>
      <c r="O10" s="15">
        <f>IF(N10="","",IF(N10&gt;60,"Y","N"))</f>
        <v/>
      </c>
      <c r="P10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2" customWidth="1" min="5" max="5"/>
    <col width="24" customWidth="1" min="6" max="6"/>
    <col width="14" customWidth="1" min="7" max="7"/>
    <col width="32" customWidth="1" min="8" max="8"/>
    <col width="12" customWidth="1" min="9" max="9"/>
    <col width="14" customWidth="1" min="10" max="10"/>
    <col width="12" customWidth="1" min="11" max="11"/>
    <col width="14" customWidth="1" min="12" max="12"/>
    <col width="18" customWidth="1" min="13" max="13"/>
    <col width="13" customWidth="1" min="14" max="14"/>
    <col width="28" customWidth="1" min="15" max="15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商品编码</t>
        </is>
      </c>
      <c r="H1" s="13" t="inlineStr">
        <is>
          <t>商品名称</t>
        </is>
      </c>
      <c r="I1" s="13" t="inlineStr">
        <is>
          <t>出货数量</t>
        </is>
      </c>
      <c r="J1" s="13" t="inlineStr">
        <is>
          <t>出货金额</t>
        </is>
      </c>
      <c r="K1" s="13" t="inlineStr">
        <is>
          <t>退货数量</t>
        </is>
      </c>
      <c r="L1" s="13" t="inlineStr">
        <is>
          <t>退货金额</t>
        </is>
      </c>
      <c r="M1" s="13" t="inlineStr">
        <is>
          <t>出货字段来源</t>
        </is>
      </c>
      <c r="N1" s="13" t="inlineStr">
        <is>
          <t>退货字段来源</t>
        </is>
      </c>
      <c r="O1" s="13" t="inlineStr">
        <is>
          <t>备注</t>
        </is>
      </c>
    </row>
    <row r="2">
      <c r="A2" s="14" t="n">
        <v>46172</v>
      </c>
      <c r="B2" s="15" t="inlineStr">
        <is>
          <t>盒马</t>
        </is>
      </c>
      <c r="C2" s="15" t="inlineStr">
        <is>
          <t>华中</t>
        </is>
      </c>
      <c r="D2" s="15" t="inlineStr">
        <is>
          <t>湖北</t>
        </is>
      </c>
      <c r="E2" s="15" t="inlineStr">
        <is>
          <t>HM001</t>
        </is>
      </c>
      <c r="F2" s="15" t="inlineStr">
        <is>
          <t>武汉珞狮路店</t>
        </is>
      </c>
      <c r="G2" s="15" t="inlineStr">
        <is>
          <t>431448153</t>
        </is>
      </c>
      <c r="H2" s="15" t="inlineStr">
        <is>
          <t>盒马工坊 蒜香无骨鸡爪 230g</t>
        </is>
      </c>
      <c r="I2" s="17" t="n">
        <v>24043</v>
      </c>
      <c r="J2" s="17" t="inlineStr"/>
      <c r="K2" s="17" t="n">
        <v>120</v>
      </c>
      <c r="L2" s="17" t="inlineStr"/>
      <c r="M2" s="15" t="inlineStr">
        <is>
          <t>当天入库采购件数数量</t>
        </is>
      </c>
      <c r="N2" s="15" t="inlineStr">
        <is>
          <t>退货数量</t>
        </is>
      </c>
      <c r="O2" s="15" t="inlineStr"/>
    </row>
    <row r="3">
      <c r="A3" s="14" t="n">
        <v>46172</v>
      </c>
      <c r="B3" s="15" t="inlineStr">
        <is>
          <t>家得福</t>
        </is>
      </c>
      <c r="C3" s="15" t="inlineStr">
        <is>
          <t>华东</t>
        </is>
      </c>
      <c r="D3" s="15" t="inlineStr">
        <is>
          <t>江苏</t>
        </is>
      </c>
      <c r="E3" s="15" t="inlineStr">
        <is>
          <t>1001</t>
        </is>
      </c>
      <c r="F3" s="15" t="inlineStr">
        <is>
          <t>家得福海棠店</t>
        </is>
      </c>
      <c r="G3" s="15" t="inlineStr">
        <is>
          <t>10081319</t>
        </is>
      </c>
      <c r="H3" s="15" t="inlineStr">
        <is>
          <t>脱骨侠酸辣柠檬无骨鸡爪780g</t>
        </is>
      </c>
      <c r="I3" s="17" t="n">
        <v>315</v>
      </c>
      <c r="J3" s="17" t="n">
        <v>9050</v>
      </c>
      <c r="K3" s="17" t="n">
        <v>0</v>
      </c>
      <c r="L3" s="17" t="n">
        <v>0</v>
      </c>
      <c r="M3" s="15" t="inlineStr">
        <is>
          <t>进货数量/含税进货金额</t>
        </is>
      </c>
      <c r="N3" s="15" t="inlineStr">
        <is>
          <t>含税退补金额</t>
        </is>
      </c>
      <c r="O3" s="15" t="inlineStr"/>
    </row>
    <row r="4">
      <c r="A4" s="14" t="n">
        <v>46172</v>
      </c>
      <c r="B4" s="15" t="inlineStr">
        <is>
          <t>大润发</t>
        </is>
      </c>
      <c r="C4" s="15" t="inlineStr">
        <is>
          <t>华东</t>
        </is>
      </c>
      <c r="D4" s="15" t="inlineStr">
        <is>
          <t>上海</t>
        </is>
      </c>
      <c r="E4" s="15" t="inlineStr">
        <is>
          <t>1001</t>
        </is>
      </c>
      <c r="F4" s="15" t="inlineStr">
        <is>
          <t>闸北店</t>
        </is>
      </c>
      <c r="G4" s="15" t="inlineStr">
        <is>
          <t>4354168</t>
        </is>
      </c>
      <c r="H4" s="15" t="inlineStr">
        <is>
          <t>脱骨侠无骨鸡爪(柠檬味)</t>
        </is>
      </c>
      <c r="I4" s="17" t="n">
        <v>725</v>
      </c>
      <c r="J4" s="17" t="inlineStr"/>
      <c r="K4" s="17" t="inlineStr"/>
      <c r="L4" s="17" t="inlineStr"/>
      <c r="M4" s="15" t="inlineStr">
        <is>
          <t>待收</t>
        </is>
      </c>
      <c r="N4" s="15" t="inlineStr">
        <is>
          <t>源表无退货发生</t>
        </is>
      </c>
      <c r="O4" s="15" t="inlineStr">
        <is>
          <t>待收不等于真实出货，需业务确认</t>
        </is>
      </c>
    </row>
    <row r="5">
      <c r="A5" s="14" t="n">
        <v>46172</v>
      </c>
      <c r="B5" s="15" t="inlineStr">
        <is>
          <t>沃尔玛</t>
        </is>
      </c>
      <c r="C5" s="15" t="inlineStr">
        <is>
          <t>华南</t>
        </is>
      </c>
      <c r="D5" s="15" t="inlineStr">
        <is>
          <t>广东</t>
        </is>
      </c>
      <c r="E5" s="15" t="inlineStr">
        <is>
          <t>101</t>
        </is>
      </c>
      <c r="F5" s="15" t="inlineStr">
        <is>
          <t>沃尔玛广州天河店</t>
        </is>
      </c>
      <c r="G5" s="15" t="inlineStr">
        <is>
          <t>25354863</t>
        </is>
      </c>
      <c r="H5" s="15" t="inlineStr">
        <is>
          <t>常温脱骨侠无骨鸡爪柠檬</t>
        </is>
      </c>
      <c r="I5" s="17" t="inlineStr"/>
      <c r="J5" s="17" t="inlineStr"/>
      <c r="K5" s="17" t="inlineStr"/>
      <c r="L5" s="17" t="inlineStr"/>
      <c r="M5" s="15" t="inlineStr">
        <is>
          <t>缺进货源</t>
        </is>
      </c>
      <c r="N5" s="15" t="inlineStr">
        <is>
          <t>缺退货源</t>
        </is>
      </c>
      <c r="O5" s="15" t="inlineStr">
        <is>
          <t>需补退货/进货明细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2026-06-02T06:14:19Z</dcterms:created>
  <dcterms:modified xmlns:dcterms="http://purl.org/dc/terms/" xmlns:xsi="http://www.w3.org/2001/XMLSchema-instance" xsi:type="dcterms:W3CDTF">2026-06-02T06:14:20Z</dcterms:modified>
</cp:coreProperties>
</file>