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 activeTab="7"/>
  </bookViews>
  <sheets>
    <sheet name="日报总览" sheetId="1" r:id="rId1"/>
    <sheet name="1-KA大盘出货数据" sheetId="2" r:id="rId2"/>
    <sheet name="2-单品出货POS对比" sheetId="3" r:id="rId3"/>
    <sheet name="3-门店库存周转天数" sheetId="4" r:id="rId4"/>
    <sheet name="4-超60天门店排名" sheetId="5" r:id="rId5"/>
    <sheet name="销售明细" sheetId="6" r:id="rId6"/>
    <sheet name="库存明细" sheetId="7" r:id="rId7"/>
    <sheet name="出货退货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<sst xmlns="http://schemas.openxmlformats.org/spreadsheetml/2006/main" count="721" uniqueCount="233">
  <si>
    <t>KA大盘出货数据日报总览</t>
  </si>
  <si>
    <t>总览页汇总所有主题sheet情况：出货大盘、单品出货/POS、库存周转、超60天门店排名，并提供源数据完整性提示。</t>
  </si>
  <si>
    <t>统计日期</t>
  </si>
  <si>
    <t>KA系统</t>
  </si>
  <si>
    <t>全部</t>
  </si>
  <si>
    <t>大区</t>
  </si>
  <si>
    <t>出货数量</t>
  </si>
  <si>
    <t>出货金额</t>
  </si>
  <si>
    <t>POS销售额</t>
  </si>
  <si>
    <t>出货/POS额</t>
  </si>
  <si>
    <t>超60天门店</t>
  </si>
  <si>
    <t>平均周转天数</t>
  </si>
  <si>
    <t>自动汇总</t>
  </si>
  <si>
    <t>主题页情况一览</t>
  </si>
  <si>
    <t>主题页</t>
  </si>
  <si>
    <t>关键词</t>
  </si>
  <si>
    <t>汇总指标</t>
  </si>
  <si>
    <t>图表数</t>
  </si>
  <si>
    <t>原始数据区</t>
  </si>
  <si>
    <t>当前状态</t>
  </si>
  <si>
    <t>跳转提示</t>
  </si>
  <si>
    <t>1-KA大盘出货数据</t>
  </si>
  <si>
    <t>出货数量/金额、by单品、by渠道</t>
  </si>
  <si>
    <t>出货退货明细</t>
  </si>
  <si>
    <t>查看系统/单品/渠道出货</t>
  </si>
  <si>
    <t>2-单品出货POS对比</t>
  </si>
  <si>
    <t>出货额、POS额、差异、比例</t>
  </si>
  <si>
    <t>POS销售明细与出货明细</t>
  </si>
  <si>
    <t>查看单品差异</t>
  </si>
  <si>
    <t>3-门店库存周转天数</t>
  </si>
  <si>
    <t>大区、单品、近7日均销、周转</t>
  </si>
  <si>
    <t>库存明细</t>
  </si>
  <si>
    <t>查看周转风险</t>
  </si>
  <si>
    <t>4-超60天门店排名</t>
  </si>
  <si>
    <t>大区、超60天门店数、排名</t>
  </si>
  <si>
    <t>超60天门店明细</t>
  </si>
  <si>
    <t>查看区域排名</t>
  </si>
  <si>
    <t>商品</t>
  </si>
  <si>
    <t>出货额</t>
  </si>
  <si>
    <t>POS额</t>
  </si>
  <si>
    <t>大区-单品</t>
  </si>
  <si>
    <t>门店库存</t>
  </si>
  <si>
    <t>近7日均销</t>
  </si>
  <si>
    <t>周转天数</t>
  </si>
  <si>
    <t>超60天门店数</t>
  </si>
  <si>
    <t>源数据页</t>
  </si>
  <si>
    <t>记录数</t>
  </si>
  <si>
    <t>关键字段</t>
  </si>
  <si>
    <t>销售明细</t>
  </si>
  <si>
    <t>日期、系统、大区、门店、商品、渠道、销售数量、销售金额</t>
  </si>
  <si>
    <t>日期、系统、大区、门店、商品、库存、近7日平均销量、周转天数</t>
  </si>
  <si>
    <t>出货退货</t>
  </si>
  <si>
    <t>日期、系统、大区、门店、商品、出货数量、出货金额、退货</t>
  </si>
  <si>
    <t>数据质量与业务提醒</t>
  </si>
  <si>
    <t>检查项</t>
  </si>
  <si>
    <t>结果</t>
  </si>
  <si>
    <t>说明</t>
  </si>
  <si>
    <t>销售明细行数</t>
  </si>
  <si>
    <t>POS销售、渠道、门店、商品字段来源</t>
  </si>
  <si>
    <t>库存明细行数</t>
  </si>
  <si>
    <t>库存、近7日平均销量、周转天数字段来源</t>
  </si>
  <si>
    <t>出货退货行数</t>
  </si>
  <si>
    <t>出货数量/金额、退货数量/金额字段来源</t>
  </si>
  <si>
    <t>缺出货金额系统数</t>
  </si>
  <si>
    <t>出货金额缺失会影响出货/POS对比</t>
  </si>
  <si>
    <t>超60天风险</t>
  </si>
  <si>
    <t>优先处理超60天且库存高的门店</t>
  </si>
  <si>
    <t>KA大盘出货数据</t>
  </si>
  <si>
    <t>关键词：系统每天出货数量、出货金额；by单品、by渠道、by数量、by金额。</t>
  </si>
  <si>
    <t>省份</t>
  </si>
  <si>
    <t>汇总：系统每天出货数量、出货金额（by系统/by数量/by金额）</t>
  </si>
  <si>
    <t>POS销售数量</t>
  </si>
  <si>
    <t>退货数量</t>
  </si>
  <si>
    <t>退货金额</t>
  </si>
  <si>
    <t>数据状态</t>
  </si>
  <si>
    <t>大润发</t>
  </si>
  <si>
    <t>盒马</t>
  </si>
  <si>
    <t>华润</t>
  </si>
  <si>
    <t>沃尔玛</t>
  </si>
  <si>
    <t>永辉</t>
  </si>
  <si>
    <t>天虹</t>
  </si>
  <si>
    <t>比优特</t>
  </si>
  <si>
    <t>家得福</t>
  </si>
  <si>
    <t>汇总：by单品</t>
  </si>
  <si>
    <t>商品编码</t>
  </si>
  <si>
    <t>商品名称</t>
  </si>
  <si>
    <t>备注</t>
  </si>
  <si>
    <t>4354168</t>
  </si>
  <si>
    <t>脱骨侠无骨鸡爪(柠檬味)</t>
  </si>
  <si>
    <t>4502138</t>
  </si>
  <si>
    <t>脱骨侠虎皮凤爪(白松露味)</t>
  </si>
  <si>
    <t>25354863</t>
  </si>
  <si>
    <t>常温脱骨侠无骨鸡爪柠檬</t>
  </si>
  <si>
    <t>431448153</t>
  </si>
  <si>
    <t>盒马工坊 蒜香无骨鸡爪 230g</t>
  </si>
  <si>
    <t>v000110869</t>
  </si>
  <si>
    <t>脱骨侠双椒无骨鸭掌</t>
  </si>
  <si>
    <t>10081319</t>
  </si>
  <si>
    <t>脱骨侠酸辣柠檬无骨鸡爪780g</t>
  </si>
  <si>
    <t>汇总：by渠道</t>
  </si>
  <si>
    <t>渠道</t>
  </si>
  <si>
    <t>POS</t>
  </si>
  <si>
    <t>渠道出货需出货源提供渠道字段；当前出货按筛选总额展示</t>
  </si>
  <si>
    <t>线下</t>
  </si>
  <si>
    <t>京东到家</t>
  </si>
  <si>
    <t>美团</t>
  </si>
  <si>
    <t>天虹到家</t>
  </si>
  <si>
    <t>原始数据：出货退货明细</t>
  </si>
  <si>
    <t>数据日期</t>
  </si>
  <si>
    <t>门店编码</t>
  </si>
  <si>
    <t>门店名称</t>
  </si>
  <si>
    <t>来源</t>
  </si>
  <si>
    <t>系统单品出货额和POS额对比</t>
  </si>
  <si>
    <t>关键词：系统、单品、出货额、POS额、差异、比例。</t>
  </si>
  <si>
    <t>汇总：系统单品出货额和POS额对比</t>
  </si>
  <si>
    <t>差异</t>
  </si>
  <si>
    <t>POS销量</t>
  </si>
  <si>
    <t>状态</t>
  </si>
  <si>
    <t>原始数据：POS销售明细与出货明细</t>
  </si>
  <si>
    <t>数量</t>
  </si>
  <si>
    <t>金额</t>
  </si>
  <si>
    <t>渠道/来源字段</t>
  </si>
  <si>
    <t>出货</t>
  </si>
  <si>
    <t>门店端库存周转天数</t>
  </si>
  <si>
    <t>关键词：POS数据、门店端库存、各大区、各单品、数据日前7天平均。</t>
  </si>
  <si>
    <t>汇总：各大区区分各单品库存周转天数</t>
  </si>
  <si>
    <t>近7日平均销量</t>
  </si>
  <si>
    <t>库存周转天数</t>
  </si>
  <si>
    <t>有库存门店数</t>
  </si>
  <si>
    <t>动销门店数</t>
  </si>
  <si>
    <t>风险</t>
  </si>
  <si>
    <t>华东</t>
  </si>
  <si>
    <t>华南</t>
  </si>
  <si>
    <t>华北</t>
  </si>
  <si>
    <t>5150673</t>
  </si>
  <si>
    <t>脱骨侠无骨鸡爪(柠檬味)158g</t>
  </si>
  <si>
    <t>华中</t>
  </si>
  <si>
    <t>原始数据：库存明细</t>
  </si>
  <si>
    <t>是否超60天</t>
  </si>
  <si>
    <t>超60天门店排名</t>
  </si>
  <si>
    <t>关键词：各大区、库存周转天数超60天、门店数排名。</t>
  </si>
  <si>
    <t>汇总：各大区库存周转天数超60天门店数排名</t>
  </si>
  <si>
    <t>排名</t>
  </si>
  <si>
    <t>主要风险单品</t>
  </si>
  <si>
    <t>处理建议</t>
  </si>
  <si>
    <t>原始数据：超60天门店明细</t>
  </si>
  <si>
    <t>是否DC</t>
  </si>
  <si>
    <t>商品条码</t>
  </si>
  <si>
    <t>规格</t>
  </si>
  <si>
    <t>温层</t>
  </si>
  <si>
    <t>销售数量</t>
  </si>
  <si>
    <t>销售金额</t>
  </si>
  <si>
    <t>含税口径</t>
  </si>
  <si>
    <t>动销标记</t>
  </si>
  <si>
    <t>上海</t>
  </si>
  <si>
    <t>1001</t>
  </si>
  <si>
    <t>闸北店</t>
  </si>
  <si>
    <t>否</t>
  </si>
  <si>
    <t>697000000001</t>
  </si>
  <si>
    <t>158g/袋</t>
  </si>
  <si>
    <t>常温</t>
  </si>
  <si>
    <t>含税</t>
  </si>
  <si>
    <t>Y</t>
  </si>
  <si>
    <t/>
  </si>
  <si>
    <t>江苏</t>
  </si>
  <si>
    <t>1002</t>
  </si>
  <si>
    <t>杨浦店</t>
  </si>
  <si>
    <t>4354169</t>
  </si>
  <si>
    <t>697000000002</t>
  </si>
  <si>
    <t>脱骨侠无骨鸡爪(泡椒味)</t>
  </si>
  <si>
    <t>广东</t>
  </si>
  <si>
    <t>5001</t>
  </si>
  <si>
    <t>广州天河店</t>
  </si>
  <si>
    <t>697000000003</t>
  </si>
  <si>
    <t>220g/盒</t>
  </si>
  <si>
    <t>冷藏</t>
  </si>
  <si>
    <t>101</t>
  </si>
  <si>
    <t>沃尔玛广州天河店</t>
  </si>
  <si>
    <t>0697765695110</t>
  </si>
  <si>
    <t>未税</t>
  </si>
  <si>
    <t>北京</t>
  </si>
  <si>
    <t>204392</t>
  </si>
  <si>
    <t>皇姑店</t>
  </si>
  <si>
    <t>6973883075622</t>
  </si>
  <si>
    <t>湖北</t>
  </si>
  <si>
    <t>HM001</t>
  </si>
  <si>
    <t>武汉珞狮路店</t>
  </si>
  <si>
    <t>6973883075387</t>
  </si>
  <si>
    <t>230g/盒</t>
  </si>
  <si>
    <t>浙江</t>
  </si>
  <si>
    <t>9626</t>
  </si>
  <si>
    <t>滨江区龙湖天街店</t>
  </si>
  <si>
    <t>1830795</t>
  </si>
  <si>
    <t>6973883073277</t>
  </si>
  <si>
    <t>脱骨侠蒜香酸甜辣无骨鸡爪780g</t>
  </si>
  <si>
    <t>780g/罐</t>
  </si>
  <si>
    <t>104</t>
  </si>
  <si>
    <t>深圳创业天虹</t>
  </si>
  <si>
    <t>6977656954114</t>
  </si>
  <si>
    <t>320g/袋</t>
  </si>
  <si>
    <t>东北</t>
  </si>
  <si>
    <t>黑龙江</t>
  </si>
  <si>
    <t>2201</t>
  </si>
  <si>
    <t>麓林山店</t>
  </si>
  <si>
    <t>1156752</t>
  </si>
  <si>
    <t>脱骨侠无骨鸡爪蒜香酸甜辣780g</t>
  </si>
  <si>
    <t>家得福海棠店</t>
  </si>
  <si>
    <t>6973883073284</t>
  </si>
  <si>
    <t>天津</t>
  </si>
  <si>
    <t>6001</t>
  </si>
  <si>
    <t>天津南开店</t>
  </si>
  <si>
    <t>4354172</t>
  </si>
  <si>
    <t>697000000004</t>
  </si>
  <si>
    <t>脱骨侠盐焗鸡爪</t>
  </si>
  <si>
    <t>138g/袋</t>
  </si>
  <si>
    <t>2470</t>
  </si>
  <si>
    <t>沃尔玛赤峰玉龙大街店</t>
  </si>
  <si>
    <t>25325573</t>
  </si>
  <si>
    <t>0697388307468</t>
  </si>
  <si>
    <t>冷藏蒜香凤爪</t>
  </si>
  <si>
    <t>DC库存</t>
  </si>
  <si>
    <t>在途/待收</t>
  </si>
  <si>
    <t>出货字段来源</t>
  </si>
  <si>
    <t>退货字段来源</t>
  </si>
  <si>
    <t>当天入库采购件数数量</t>
  </si>
  <si>
    <t>进货数量/含税进货金额</t>
  </si>
  <si>
    <t>含税退补金额</t>
  </si>
  <si>
    <t>待收</t>
  </si>
  <si>
    <t>源表无退货发生</t>
  </si>
  <si>
    <t>待收不等于真实出货，需业务确认</t>
  </si>
  <si>
    <t>缺进货源</t>
  </si>
  <si>
    <t>缺退货源</t>
  </si>
  <si>
    <t>需补退货/进货明细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</si>
</sst>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"/>
    <numFmt numFmtId="178" formatCode="0.0%"/>
  </numFmts>
  <fonts count="35">
    <font>
      <sz val="11"/>
      <color theme="1"/>
      <name val="宋体"/>
      <charset val="134"/>
      <scheme val="minor"/>
    </font>
    <font>
      <b/>
      <sz val="11"/>
      <color rgb="FF17202A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color rgb="FF17202A"/>
      <name val="微软雅黑"/>
      <charset val="134"/>
    </font>
    <font>
      <sz val="9"/>
      <color rgb="FF5B6675"/>
      <name val="微软雅黑"/>
      <charset val="134"/>
    </font>
    <font>
      <b/>
      <sz val="9"/>
      <color rgb="FF5B6675"/>
      <name val="微软雅黑"/>
      <charset val="134"/>
    </font>
    <font>
      <b/>
      <sz val="10"/>
      <color rgb="FF17202A"/>
      <name val="微软雅黑"/>
      <charset val="134"/>
    </font>
    <font>
      <b/>
      <sz val="12"/>
      <color rgb="FF17202A"/>
      <name val="微软雅黑"/>
      <charset val="134"/>
    </font>
    <font>
      <sz val="10"/>
      <color rgb="FF17202A"/>
      <name val="微软雅黑"/>
      <charset val="134"/>
    </font>
    <font>
      <b/>
      <sz val="10"/>
      <color rgb="FF5B6675"/>
      <name val="微软雅黑"/>
      <charset val="134"/>
    </font>
    <font>
      <b/>
      <sz val="18"/>
      <color rgb="FF15803D"/>
      <name val="微软雅黑"/>
      <charset val="134"/>
    </font>
    <font>
      <b/>
      <sz val="18"/>
      <color rgb="FF1D4ED8"/>
      <name val="微软雅黑"/>
      <charset val="134"/>
    </font>
    <font>
      <b/>
      <sz val="18"/>
      <color rgb="FF6D28D9"/>
      <name val="微软雅黑"/>
      <charset val="134"/>
    </font>
    <font>
      <b/>
      <sz val="18"/>
      <color rgb="FFB45309"/>
      <name val="微软雅黑"/>
      <charset val="134"/>
    </font>
    <font>
      <b/>
      <sz val="18"/>
      <color rgb="FFB91C1C"/>
      <name val="微软雅黑"/>
      <charset val="134"/>
    </font>
    <font>
      <b/>
      <sz val="18"/>
      <color rgb="FF0891B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AF0F8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8DEE7"/>
      </left>
      <right style="thin">
        <color rgb="FFD8DEE7"/>
      </right>
      <top style="thin">
        <color rgb="FFD8DEE7"/>
      </top>
      <bottom style="thin">
        <color rgb="FFD8DEE7"/>
      </bottom>
      <diagonal/>
    </border>
    <border>
      <left/>
      <right/>
      <top style="thin">
        <color rgb="FFD8DEE7"/>
      </top>
      <bottom style="thin">
        <color rgb="FFD8DEE7"/>
      </bottom>
      <diagonal/>
    </border>
    <border>
      <left/>
      <right style="thin">
        <color rgb="FFD8DEE7"/>
      </right>
      <top style="thin">
        <color rgb="FFD8DEE7"/>
      </top>
      <bottom style="thin">
        <color rgb="FFD8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6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8" borderId="7" applyNumberFormat="0" applyAlignment="0" applyProtection="0">
      <alignment vertical="center"/>
    </xf>
    <xf numFmtId="0" fontId="27" fillId="9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0" fillId="3" borderId="0" xfId="0" applyFill="1"/>
    <xf numFmtId="0" fontId="5" fillId="3" borderId="0" xfId="0" applyFont="1" applyFill="1"/>
    <xf numFmtId="176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6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77" fontId="8" fillId="4" borderId="1" xfId="0" applyNumberFormat="1" applyFont="1" applyFill="1" applyBorder="1" applyAlignment="1">
      <alignment horizontal="center" vertical="center" wrapText="1"/>
    </xf>
    <xf numFmtId="178" fontId="8" fillId="4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0" fontId="9" fillId="4" borderId="1" xfId="0" applyFont="1" applyFill="1" applyBorder="1" applyAlignment="1">
      <alignment horizontal="center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3" fontId="11" fillId="4" borderId="1" xfId="0" applyNumberFormat="1" applyFont="1" applyFill="1" applyBorder="1" applyAlignment="1">
      <alignment horizontal="center" vertical="center" wrapText="1"/>
    </xf>
    <xf numFmtId="3" fontId="12" fillId="4" borderId="1" xfId="0" applyNumberFormat="1" applyFont="1" applyFill="1" applyBorder="1" applyAlignment="1">
      <alignment horizontal="center" vertical="center" wrapText="1"/>
    </xf>
    <xf numFmtId="178" fontId="13" fillId="4" borderId="1" xfId="0" applyNumberFormat="1" applyFont="1" applyFill="1" applyBorder="1" applyAlignment="1">
      <alignment horizontal="center" vertical="center" wrapText="1"/>
    </xf>
    <xf numFmtId="3" fontId="14" fillId="4" borderId="1" xfId="0" applyNumberFormat="1" applyFont="1" applyFill="1" applyBorder="1" applyAlignment="1">
      <alignment horizontal="center" vertical="center" wrapText="1"/>
    </xf>
    <xf numFmtId="177" fontId="15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color rgb="FFB91C1C"/>
      </font>
      <fill>
        <patternFill patternType="solid">
          <f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系统出货金额 vs POS销售额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日报总览!$C$18</c:f>
              <c:strCache>
                <c:ptCount val="1"/>
                <c:pt idx="0">
                  <c:v>出货金额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日报总览!$B$19:$B$26</c:f>
              <c:strCache>
                <c:ptCount val="8"/>
                <c:pt idx="0">
                  <c:v>大润发</c:v>
                </c:pt>
                <c:pt idx="1">
                  <c:v>盒马</c:v>
                </c:pt>
                <c:pt idx="2">
                  <c:v>华润</c:v>
                </c:pt>
                <c:pt idx="3">
                  <c:v>沃尔玛</c:v>
                </c:pt>
                <c:pt idx="4">
                  <c:v>永辉</c:v>
                </c:pt>
                <c:pt idx="5">
                  <c:v>天虹</c:v>
                </c:pt>
                <c:pt idx="6">
                  <c:v>比优特</c:v>
                </c:pt>
                <c:pt idx="7">
                  <c:v>家得福</c:v>
                </c:pt>
              </c:strCache>
            </c:strRef>
          </c:cat>
          <c:val>
            <c:numRef>
              <c:f>日报总览!$C$19:$C$26</c:f>
              <c:numCache>
                <c:formatCode>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日报总览!$D$18</c:f>
              <c:strCache>
                <c:ptCount val="1"/>
                <c:pt idx="0">
                  <c:v>POS销售额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日报总览!$B$19:$B$26</c:f>
              <c:strCache>
                <c:ptCount val="8"/>
                <c:pt idx="0">
                  <c:v>大润发</c:v>
                </c:pt>
                <c:pt idx="1">
                  <c:v>盒马</c:v>
                </c:pt>
                <c:pt idx="2">
                  <c:v>华润</c:v>
                </c:pt>
                <c:pt idx="3">
                  <c:v>沃尔玛</c:v>
                </c:pt>
                <c:pt idx="4">
                  <c:v>永辉</c:v>
                </c:pt>
                <c:pt idx="5">
                  <c:v>天虹</c:v>
                </c:pt>
                <c:pt idx="6">
                  <c:v>比优特</c:v>
                </c:pt>
                <c:pt idx="7">
                  <c:v>家得福</c:v>
                </c:pt>
              </c:strCache>
            </c:strRef>
          </c:cat>
          <c:val>
            <c:numRef>
              <c:f>日报总览!$D$19:$D$26</c:f>
              <c:numCache>
                <c:formatCode>#,##0.0</c:formatCode>
                <c:ptCount val="8"/>
                <c:pt idx="0">
                  <c:v>22870</c:v>
                </c:pt>
                <c:pt idx="1">
                  <c:v>22870</c:v>
                </c:pt>
                <c:pt idx="2">
                  <c:v>22870</c:v>
                </c:pt>
                <c:pt idx="3">
                  <c:v>22870</c:v>
                </c:pt>
                <c:pt idx="4">
                  <c:v>22870</c:v>
                </c:pt>
                <c:pt idx="5">
                  <c:v>22870</c:v>
                </c:pt>
                <c:pt idx="6">
                  <c:v>22870</c:v>
                </c:pt>
                <c:pt idx="7">
                  <c:v>22870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金额</a:t>
                </a:r>
              </a:p>
            </c:rich>
          </c:tx>
          <c:layout/>
          <c:overlay val="0"/>
        </c:title>
        <c:numFmt formatCode="#,##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4785abe-393e-4101-9374-0f4f9a4ff28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单品出货/POS额比例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日报总览!$K$18</c:f>
              <c:strCache>
                <c:ptCount val="1"/>
                <c:pt idx="0">
                  <c:v>出货/POS额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日报总览!$H$19:$H$24</c:f>
              <c:strCache>
                <c:ptCount val="6"/>
                <c:pt idx="0">
                  <c:v>脱骨侠无骨鸡爪(柠檬味)</c:v>
                </c:pt>
                <c:pt idx="1">
                  <c:v>脱骨侠虎皮凤爪(白松露味)</c:v>
                </c:pt>
                <c:pt idx="2">
                  <c:v>常温脱骨侠无骨鸡爪柠檬</c:v>
                </c:pt>
                <c:pt idx="3">
                  <c:v>盒马工坊 蒜香无骨鸡爪 230g</c:v>
                </c:pt>
                <c:pt idx="4">
                  <c:v>脱骨侠双椒无骨鸭掌</c:v>
                </c:pt>
                <c:pt idx="5">
                  <c:v>脱骨侠酸辣柠檬无骨鸡爪780g</c:v>
                </c:pt>
              </c:strCache>
            </c:strRef>
          </c:cat>
          <c:val>
            <c:numRef>
              <c:f>日报总览!$K$19:$K$24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比例</a:t>
                </a:r>
              </a:p>
            </c:rich>
          </c:tx>
          <c:layout/>
          <c:overlay val="0"/>
        </c:title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055ff2-8170-4ca8-bb7b-08f450ba160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门店库存与近7日均销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日报总览!$C$30</c:f>
              <c:strCache>
                <c:ptCount val="1"/>
                <c:pt idx="0">
                  <c:v>门店库存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日报总览!$B$31:$B$36</c:f>
              <c:strCache>
                <c:ptCount val="6"/>
                <c:pt idx="0">
                  <c:v>华东-脱骨侠无骨鸡爪(柠檬味)</c:v>
                </c:pt>
                <c:pt idx="1">
                  <c:v>华南-脱骨侠虎皮凤爪(白松露味)</c:v>
                </c:pt>
                <c:pt idx="2">
                  <c:v>华南-常温脱骨侠无骨鸡爪柠檬</c:v>
                </c:pt>
                <c:pt idx="3">
                  <c:v>华北-脱骨侠无骨鸡爪(柠檬味)158g</c:v>
                </c:pt>
                <c:pt idx="4">
                  <c:v>华中-盒马工坊 蒜香无骨鸡爪 230g</c:v>
                </c:pt>
                <c:pt idx="5">
                  <c:v>华东-脱骨侠酸辣柠檬无骨鸡爪780g</c:v>
                </c:pt>
              </c:strCache>
            </c:strRef>
          </c:cat>
          <c:val>
            <c:numRef>
              <c:f>日报总览!$C$31:$C$36</c:f>
              <c:numCache>
                <c:formatCode>#,##0.0</c:formatCode>
                <c:ptCount val="6"/>
                <c:pt idx="0">
                  <c:v>181584</c:v>
                </c:pt>
                <c:pt idx="1">
                  <c:v>181584</c:v>
                </c:pt>
                <c:pt idx="2">
                  <c:v>181584</c:v>
                </c:pt>
                <c:pt idx="3">
                  <c:v>181584</c:v>
                </c:pt>
                <c:pt idx="4">
                  <c:v>181584</c:v>
                </c:pt>
                <c:pt idx="5">
                  <c:v>181584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日报总览!$D$30</c:f>
              <c:strCache>
                <c:ptCount val="1"/>
                <c:pt idx="0">
                  <c:v>近7日均销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日报总览!$B$31:$B$36</c:f>
              <c:strCache>
                <c:ptCount val="6"/>
                <c:pt idx="0">
                  <c:v>华东-脱骨侠无骨鸡爪(柠檬味)</c:v>
                </c:pt>
                <c:pt idx="1">
                  <c:v>华南-脱骨侠虎皮凤爪(白松露味)</c:v>
                </c:pt>
                <c:pt idx="2">
                  <c:v>华南-常温脱骨侠无骨鸡爪柠檬</c:v>
                </c:pt>
                <c:pt idx="3">
                  <c:v>华北-脱骨侠无骨鸡爪(柠檬味)158g</c:v>
                </c:pt>
                <c:pt idx="4">
                  <c:v>华中-盒马工坊 蒜香无骨鸡爪 230g</c:v>
                </c:pt>
                <c:pt idx="5">
                  <c:v>华东-脱骨侠酸辣柠檬无骨鸡爪780g</c:v>
                </c:pt>
              </c:strCache>
            </c:strRef>
          </c:cat>
          <c:val>
            <c:numRef>
              <c:f>日报总览!$D$31:$D$36</c:f>
              <c:numCache>
                <c:formatCode>#,##0.0</c:formatCode>
                <c:ptCount val="6"/>
                <c:pt idx="0">
                  <c:v>22802</c:v>
                </c:pt>
                <c:pt idx="1">
                  <c:v>22802</c:v>
                </c:pt>
                <c:pt idx="2">
                  <c:v>22802</c:v>
                </c:pt>
                <c:pt idx="3">
                  <c:v>22802</c:v>
                </c:pt>
                <c:pt idx="4">
                  <c:v>22802</c:v>
                </c:pt>
                <c:pt idx="5">
                  <c:v>22802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数量</a:t>
                </a:r>
              </a:p>
            </c:rich>
          </c:tx>
          <c:layout/>
          <c:overlay val="0"/>
        </c:title>
        <c:numFmt formatCode="#,##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d5726f-379f-4bec-bcbb-1ff12194074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超60天门店数排名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日报总览!$I$30</c:f>
              <c:strCache>
                <c:ptCount val="1"/>
                <c:pt idx="0">
                  <c:v>超60天门店数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日报总览!$H$31:$H$35</c:f>
              <c:strCache>
                <c:ptCount val="5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</c:strCache>
            </c:strRef>
          </c:cat>
          <c:val>
            <c:numRef>
              <c:f>日报总览!$I$31:$I$35</c:f>
              <c:numCache>
                <c:formatCode>#,##0.0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门店数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#,##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94d2b9-f95f-4872-9aa3-334187d123f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主题页指标占比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日报总览!$B$12:$B$15</c:f>
              <c:strCache>
                <c:ptCount val="4"/>
                <c:pt idx="0">
                  <c:v>1-KA大盘出货数据</c:v>
                </c:pt>
                <c:pt idx="1">
                  <c:v>2-单品出货POS对比</c:v>
                </c:pt>
                <c:pt idx="2">
                  <c:v>3-门店库存周转天数</c:v>
                </c:pt>
                <c:pt idx="3">
                  <c:v>4-超60天门店排名</c:v>
                </c:pt>
              </c:strCache>
            </c:strRef>
          </c:cat>
          <c:val>
            <c:numRef>
              <c:f>日报总览!$D$12:$D$15</c:f>
              <c:numCache>
                <c:formatCode>#,##0.0</c:formatCode>
                <c:ptCount val="4"/>
                <c:pt idx="0">
                  <c:v>0</c:v>
                </c:pt>
                <c:pt idx="1">
                  <c:v>137220</c:v>
                </c:pt>
                <c:pt idx="2">
                  <c:v>7.96351197263398</c:v>
                </c:pt>
                <c:pt idx="3">
                  <c:v>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1d6fa0b-e47f-4e94-a86f-0e1bd0b11d1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源数据记录数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日报总览!$C$42</c:f>
              <c:strCache>
                <c:ptCount val="1"/>
                <c:pt idx="0">
                  <c:v>记录数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日报总览!$B$43:$B$45</c:f>
              <c:strCache>
                <c:ptCount val="3"/>
                <c:pt idx="0">
                  <c:v>销售明细</c:v>
                </c:pt>
                <c:pt idx="1">
                  <c:v>库存明细</c:v>
                </c:pt>
                <c:pt idx="2">
                  <c:v>出货退货</c:v>
                </c:pt>
              </c:strCache>
            </c:strRef>
          </c:cat>
          <c:val>
            <c:numRef>
              <c:f>日报总览!$C$43:$C$45</c:f>
              <c:numCache>
                <c:formatCode>General</c:formatCode>
                <c:ptCount val="3"/>
                <c:pt idx="0">
                  <c:v>15</c:v>
                </c:pt>
                <c:pt idx="1">
                  <c:v>9</c:v>
                </c:pt>
                <c:pt idx="2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5ee12d-f3ce-4d8a-9d7f-ae9d00029b1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系统出货金额 vs POS销售额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'1-KA大盘出货数据'!$D$6</c:f>
              <c:strCache>
                <c:ptCount val="1"/>
                <c:pt idx="0">
                  <c:v>出货金额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'1-KA大盘出货数据'!$B$7:$B$14</c:f>
              <c:strCache>
                <c:ptCount val="8"/>
                <c:pt idx="0">
                  <c:v>大润发</c:v>
                </c:pt>
                <c:pt idx="1">
                  <c:v>盒马</c:v>
                </c:pt>
                <c:pt idx="2">
                  <c:v>华润</c:v>
                </c:pt>
                <c:pt idx="3">
                  <c:v>沃尔玛</c:v>
                </c:pt>
                <c:pt idx="4">
                  <c:v>永辉</c:v>
                </c:pt>
                <c:pt idx="5">
                  <c:v>天虹</c:v>
                </c:pt>
                <c:pt idx="6">
                  <c:v>比优特</c:v>
                </c:pt>
                <c:pt idx="7">
                  <c:v>家得福</c:v>
                </c:pt>
              </c:strCache>
            </c:strRef>
          </c:cat>
          <c:val>
            <c:numRef>
              <c:f>'1-KA大盘出货数据'!$D$7:$D$14</c:f>
              <c:numCache>
                <c:formatCode>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'1-KA大盘出货数据'!$E$6</c:f>
              <c:strCache>
                <c:ptCount val="1"/>
                <c:pt idx="0">
                  <c:v>POS销售数量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'1-KA大盘出货数据'!$B$7:$B$14</c:f>
              <c:strCache>
                <c:ptCount val="8"/>
                <c:pt idx="0">
                  <c:v>大润发</c:v>
                </c:pt>
                <c:pt idx="1">
                  <c:v>盒马</c:v>
                </c:pt>
                <c:pt idx="2">
                  <c:v>华润</c:v>
                </c:pt>
                <c:pt idx="3">
                  <c:v>沃尔玛</c:v>
                </c:pt>
                <c:pt idx="4">
                  <c:v>永辉</c:v>
                </c:pt>
                <c:pt idx="5">
                  <c:v>天虹</c:v>
                </c:pt>
                <c:pt idx="6">
                  <c:v>比优特</c:v>
                </c:pt>
                <c:pt idx="7">
                  <c:v>家得福</c:v>
                </c:pt>
              </c:strCache>
            </c:strRef>
          </c:cat>
          <c:val>
            <c:numRef>
              <c:f>'1-KA大盘出货数据'!$E$7:$E$14</c:f>
              <c:numCache>
                <c:formatCode>#,##0.0</c:formatCode>
                <c:ptCount val="8"/>
                <c:pt idx="0">
                  <c:v>1423</c:v>
                </c:pt>
                <c:pt idx="1">
                  <c:v>1423</c:v>
                </c:pt>
                <c:pt idx="2">
                  <c:v>1423</c:v>
                </c:pt>
                <c:pt idx="3">
                  <c:v>1423</c:v>
                </c:pt>
                <c:pt idx="4">
                  <c:v>1423</c:v>
                </c:pt>
                <c:pt idx="5">
                  <c:v>1423</c:v>
                </c:pt>
                <c:pt idx="6">
                  <c:v>1423</c:v>
                </c:pt>
                <c:pt idx="7">
                  <c:v>1423</c:v>
                </c:pt>
              </c:numCache>
            </c:numRef>
          </c:val>
        </c:ser>
        <c:ser>
          <c:idx val="2"/>
          <c:order val="2"/>
          <c:tx>
            <c:strRef>
              <c:f>'1-KA大盘出货数据'!$F$6</c:f>
              <c:strCache>
                <c:ptCount val="1"/>
                <c:pt idx="0">
                  <c:v>POS销售额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'1-KA大盘出货数据'!$B$7:$B$14</c:f>
              <c:strCache>
                <c:ptCount val="8"/>
                <c:pt idx="0">
                  <c:v>大润发</c:v>
                </c:pt>
                <c:pt idx="1">
                  <c:v>盒马</c:v>
                </c:pt>
                <c:pt idx="2">
                  <c:v>华润</c:v>
                </c:pt>
                <c:pt idx="3">
                  <c:v>沃尔玛</c:v>
                </c:pt>
                <c:pt idx="4">
                  <c:v>永辉</c:v>
                </c:pt>
                <c:pt idx="5">
                  <c:v>天虹</c:v>
                </c:pt>
                <c:pt idx="6">
                  <c:v>比优特</c:v>
                </c:pt>
                <c:pt idx="7">
                  <c:v>家得福</c:v>
                </c:pt>
              </c:strCache>
            </c:strRef>
          </c:cat>
          <c:val>
            <c:numRef>
              <c:f>'1-KA大盘出货数据'!$F$7:$F$14</c:f>
              <c:numCache>
                <c:formatCode>#,##0.0</c:formatCode>
                <c:ptCount val="8"/>
                <c:pt idx="0">
                  <c:v>22870</c:v>
                </c:pt>
                <c:pt idx="1">
                  <c:v>22870</c:v>
                </c:pt>
                <c:pt idx="2">
                  <c:v>22870</c:v>
                </c:pt>
                <c:pt idx="3">
                  <c:v>22870</c:v>
                </c:pt>
                <c:pt idx="4">
                  <c:v>22870</c:v>
                </c:pt>
                <c:pt idx="5">
                  <c:v>22870</c:v>
                </c:pt>
                <c:pt idx="6">
                  <c:v>22870</c:v>
                </c:pt>
                <c:pt idx="7">
                  <c:v>22870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金额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61a7a7-3cda-46d5-af88-92c79572693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by单品出货数量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'1-KA大盘出货数据'!$E$18</c:f>
              <c:strCache>
                <c:ptCount val="1"/>
                <c:pt idx="0">
                  <c:v>出货数量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'1-KA大盘出货数据'!$C$19:$C$24</c:f>
              <c:strCache>
                <c:ptCount val="6"/>
                <c:pt idx="0">
                  <c:v>脱骨侠无骨鸡爪(柠檬味)</c:v>
                </c:pt>
                <c:pt idx="1">
                  <c:v>脱骨侠虎皮凤爪(白松露味)</c:v>
                </c:pt>
                <c:pt idx="2">
                  <c:v>常温脱骨侠无骨鸡爪柠檬</c:v>
                </c:pt>
                <c:pt idx="3">
                  <c:v>盒马工坊 蒜香无骨鸡爪 230g</c:v>
                </c:pt>
                <c:pt idx="4">
                  <c:v>脱骨侠双椒无骨鸭掌</c:v>
                </c:pt>
                <c:pt idx="5">
                  <c:v>脱骨侠酸辣柠檬无骨鸡爪780g</c:v>
                </c:pt>
              </c:strCache>
            </c:strRef>
          </c:cat>
          <c:val>
            <c:numRef>
              <c:f>'1-KA大盘出货数据'!$E$19:$E$24</c:f>
              <c:numCache>
                <c:formatCode>#,##0.0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数量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174280-49d8-4c19-a521-1be0cd30920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单品出货额 vs POS额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'2-单品出货POS对比'!$E$6</c:f>
              <c:strCache>
                <c:ptCount val="1"/>
                <c:pt idx="0">
                  <c:v>出货额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'2-单品出货POS对比'!$D$7:$D$12</c:f>
              <c:strCache>
                <c:ptCount val="6"/>
                <c:pt idx="0">
                  <c:v>脱骨侠无骨鸡爪(柠檬味)</c:v>
                </c:pt>
                <c:pt idx="1">
                  <c:v>脱骨侠虎皮凤爪(白松露味)</c:v>
                </c:pt>
                <c:pt idx="2">
                  <c:v>常温脱骨侠无骨鸡爪柠檬</c:v>
                </c:pt>
                <c:pt idx="3">
                  <c:v>盒马工坊 蒜香无骨鸡爪 230g</c:v>
                </c:pt>
                <c:pt idx="4">
                  <c:v>脱骨侠双椒无骨鸭掌</c:v>
                </c:pt>
                <c:pt idx="5">
                  <c:v>脱骨侠酸辣柠檬无骨鸡爪780g</c:v>
                </c:pt>
              </c:strCache>
            </c:strRef>
          </c:cat>
          <c:val>
            <c:numRef>
              <c:f>'2-单品出货POS对比'!$E$7:$E$12</c:f>
              <c:numCache>
                <c:formatCode>#,##0.0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'2-单品出货POS对比'!$F$6</c:f>
              <c:strCache>
                <c:ptCount val="1"/>
                <c:pt idx="0">
                  <c:v>POS额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'2-单品出货POS对比'!$D$7:$D$12</c:f>
              <c:strCache>
                <c:ptCount val="6"/>
                <c:pt idx="0">
                  <c:v>脱骨侠无骨鸡爪(柠檬味)</c:v>
                </c:pt>
                <c:pt idx="1">
                  <c:v>脱骨侠虎皮凤爪(白松露味)</c:v>
                </c:pt>
                <c:pt idx="2">
                  <c:v>常温脱骨侠无骨鸡爪柠檬</c:v>
                </c:pt>
                <c:pt idx="3">
                  <c:v>盒马工坊 蒜香无骨鸡爪 230g</c:v>
                </c:pt>
                <c:pt idx="4">
                  <c:v>脱骨侠双椒无骨鸭掌</c:v>
                </c:pt>
                <c:pt idx="5">
                  <c:v>脱骨侠酸辣柠檬无骨鸡爪780g</c:v>
                </c:pt>
              </c:strCache>
            </c:strRef>
          </c:cat>
          <c:val>
            <c:numRef>
              <c:f>'2-单品出货POS对比'!$F$7:$F$12</c:f>
              <c:numCache>
                <c:formatCode>#,##0.0</c:formatCode>
                <c:ptCount val="6"/>
                <c:pt idx="0">
                  <c:v>22870</c:v>
                </c:pt>
                <c:pt idx="1">
                  <c:v>22870</c:v>
                </c:pt>
                <c:pt idx="2">
                  <c:v>22870</c:v>
                </c:pt>
                <c:pt idx="3">
                  <c:v>22870</c:v>
                </c:pt>
                <c:pt idx="4">
                  <c:v>22870</c:v>
                </c:pt>
                <c:pt idx="5">
                  <c:v>22870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7d65dd9-d7d6-4621-a452-3ffde9874b3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出货/POS额比例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'2-单品出货POS对比'!$H$6</c:f>
              <c:strCache>
                <c:ptCount val="1"/>
                <c:pt idx="0">
                  <c:v>出货/POS额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'2-单品出货POS对比'!$D$7:$D$12</c:f>
              <c:strCache>
                <c:ptCount val="6"/>
                <c:pt idx="0">
                  <c:v>脱骨侠无骨鸡爪(柠檬味)</c:v>
                </c:pt>
                <c:pt idx="1">
                  <c:v>脱骨侠虎皮凤爪(白松露味)</c:v>
                </c:pt>
                <c:pt idx="2">
                  <c:v>常温脱骨侠无骨鸡爪柠檬</c:v>
                </c:pt>
                <c:pt idx="3">
                  <c:v>盒马工坊 蒜香无骨鸡爪 230g</c:v>
                </c:pt>
                <c:pt idx="4">
                  <c:v>脱骨侠双椒无骨鸭掌</c:v>
                </c:pt>
                <c:pt idx="5">
                  <c:v>脱骨侠酸辣柠檬无骨鸡爪780g</c:v>
                </c:pt>
              </c:strCache>
            </c:strRef>
          </c:cat>
          <c:val>
            <c:numRef>
              <c:f>'2-单品出货POS对比'!$H$7:$H$12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f07c3d-c730-43a8-a705-dba20c09abe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各大区单品库存周转天数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'3-门店库存周转天数'!$G$6</c:f>
              <c:strCache>
                <c:ptCount val="1"/>
                <c:pt idx="0">
                  <c:v>库存周转天数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'3-门店库存周转天数'!$D$7:$D$12</c:f>
              <c:strCache>
                <c:ptCount val="6"/>
                <c:pt idx="0">
                  <c:v>脱骨侠无骨鸡爪(柠檬味)</c:v>
                </c:pt>
                <c:pt idx="1">
                  <c:v>脱骨侠虎皮凤爪(白松露味)</c:v>
                </c:pt>
                <c:pt idx="2">
                  <c:v>常温脱骨侠无骨鸡爪柠檬</c:v>
                </c:pt>
                <c:pt idx="3">
                  <c:v>脱骨侠无骨鸡爪(柠檬味)158g</c:v>
                </c:pt>
                <c:pt idx="4">
                  <c:v>盒马工坊 蒜香无骨鸡爪 230g</c:v>
                </c:pt>
                <c:pt idx="5">
                  <c:v>脱骨侠酸辣柠檬无骨鸡爪780g</c:v>
                </c:pt>
              </c:strCache>
            </c:strRef>
          </c:cat>
          <c:val>
            <c:numRef>
              <c:f>'3-门店库存周转天数'!$G$7:$G$12</c:f>
              <c:numCache>
                <c:formatCode>#,##0.0</c:formatCode>
                <c:ptCount val="6"/>
                <c:pt idx="0">
                  <c:v>7.96351197263398</c:v>
                </c:pt>
                <c:pt idx="1">
                  <c:v>7.96351197263398</c:v>
                </c:pt>
                <c:pt idx="2">
                  <c:v>7.96351197263398</c:v>
                </c:pt>
                <c:pt idx="3">
                  <c:v>7.96351197263398</c:v>
                </c:pt>
                <c:pt idx="4">
                  <c:v>7.96351197263398</c:v>
                </c:pt>
                <c:pt idx="5">
                  <c:v>7.96351197263398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53d863-3e73-4f6f-bd31-1dbef959316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门店库存 vs 近7日均销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'3-门店库存周转天数'!$E$6</c:f>
              <c:strCache>
                <c:ptCount val="1"/>
                <c:pt idx="0">
                  <c:v>门店库存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'3-门店库存周转天数'!$D$7:$D$12</c:f>
              <c:strCache>
                <c:ptCount val="6"/>
                <c:pt idx="0">
                  <c:v>脱骨侠无骨鸡爪(柠檬味)</c:v>
                </c:pt>
                <c:pt idx="1">
                  <c:v>脱骨侠虎皮凤爪(白松露味)</c:v>
                </c:pt>
                <c:pt idx="2">
                  <c:v>常温脱骨侠无骨鸡爪柠檬</c:v>
                </c:pt>
                <c:pt idx="3">
                  <c:v>脱骨侠无骨鸡爪(柠檬味)158g</c:v>
                </c:pt>
                <c:pt idx="4">
                  <c:v>盒马工坊 蒜香无骨鸡爪 230g</c:v>
                </c:pt>
                <c:pt idx="5">
                  <c:v>脱骨侠酸辣柠檬无骨鸡爪780g</c:v>
                </c:pt>
              </c:strCache>
            </c:strRef>
          </c:cat>
          <c:val>
            <c:numRef>
              <c:f>'3-门店库存周转天数'!$E$7:$E$12</c:f>
              <c:numCache>
                <c:formatCode>#,##0.0</c:formatCode>
                <c:ptCount val="6"/>
                <c:pt idx="0">
                  <c:v>181584</c:v>
                </c:pt>
                <c:pt idx="1">
                  <c:v>181584</c:v>
                </c:pt>
                <c:pt idx="2">
                  <c:v>181584</c:v>
                </c:pt>
                <c:pt idx="3">
                  <c:v>181584</c:v>
                </c:pt>
                <c:pt idx="4">
                  <c:v>181584</c:v>
                </c:pt>
                <c:pt idx="5">
                  <c:v>181584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'3-门店库存周转天数'!$F$6</c:f>
              <c:strCache>
                <c:ptCount val="1"/>
                <c:pt idx="0">
                  <c:v>近7日平均销量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'3-门店库存周转天数'!$D$7:$D$12</c:f>
              <c:strCache>
                <c:ptCount val="6"/>
                <c:pt idx="0">
                  <c:v>脱骨侠无骨鸡爪(柠檬味)</c:v>
                </c:pt>
                <c:pt idx="1">
                  <c:v>脱骨侠虎皮凤爪(白松露味)</c:v>
                </c:pt>
                <c:pt idx="2">
                  <c:v>常温脱骨侠无骨鸡爪柠檬</c:v>
                </c:pt>
                <c:pt idx="3">
                  <c:v>脱骨侠无骨鸡爪(柠檬味)158g</c:v>
                </c:pt>
                <c:pt idx="4">
                  <c:v>盒马工坊 蒜香无骨鸡爪 230g</c:v>
                </c:pt>
                <c:pt idx="5">
                  <c:v>脱骨侠酸辣柠檬无骨鸡爪780g</c:v>
                </c:pt>
              </c:strCache>
            </c:strRef>
          </c:cat>
          <c:val>
            <c:numRef>
              <c:f>'3-门店库存周转天数'!$F$7:$F$12</c:f>
              <c:numCache>
                <c:formatCode>#,##0.0</c:formatCode>
                <c:ptCount val="6"/>
                <c:pt idx="0">
                  <c:v>22802</c:v>
                </c:pt>
                <c:pt idx="1">
                  <c:v>22802</c:v>
                </c:pt>
                <c:pt idx="2">
                  <c:v>22802</c:v>
                </c:pt>
                <c:pt idx="3">
                  <c:v>22802</c:v>
                </c:pt>
                <c:pt idx="4">
                  <c:v>22802</c:v>
                </c:pt>
                <c:pt idx="5">
                  <c:v>22802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74f4a28-147d-47ed-a22a-2471f440d7c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各大区超60天门店数排名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'4-超60天门店排名'!$D$6</c:f>
              <c:strCache>
                <c:ptCount val="1"/>
                <c:pt idx="0">
                  <c:v>超60天门店数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'4-超60天门店排名'!$C$7:$C$11</c:f>
              <c:strCache>
                <c:ptCount val="5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</c:strCache>
            </c:strRef>
          </c:cat>
          <c:val>
            <c:numRef>
              <c:f>'4-超60天门店排名'!$D$7:$D$11</c:f>
              <c:numCache>
                <c:formatCode>#,##0.0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4c36f1-07c0-4717-9ec2-874db4533dc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区域平均周转天数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'4-超60天门店排名'!$G$6</c:f>
              <c:strCache>
                <c:ptCount val="1"/>
                <c:pt idx="0">
                  <c:v>平均周转天数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'4-超60天门店排名'!$C$7:$C$11</c:f>
              <c:strCache>
                <c:ptCount val="5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</c:strCache>
            </c:strRef>
          </c:cat>
          <c:val>
            <c:numRef>
              <c:f>'4-超60天门店排名'!$G$7:$G$11</c:f>
              <c:numCache>
                <c:formatCode>#,##0.0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f0d8578-e6da-4c2b-81a5-460c1281057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0</xdr:colOff>
      <xdr:row>9</xdr:row>
      <xdr:rowOff>0</xdr:rowOff>
    </xdr:from>
    <xdr:ext cx="5400000" cy="2880000"/>
    <xdr:graphicFrame>
      <xdr:nvGraphicFramePr>
        <xdr:cNvPr id="2" name="Chart 1"/>
        <xdr:cNvGraphicFramePr/>
      </xdr:nvGraphicFramePr>
      <xdr:xfrm>
        <a:off x="14325600" y="2514600"/>
        <a:ext cx="539940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26</xdr:row>
      <xdr:rowOff>0</xdr:rowOff>
    </xdr:from>
    <xdr:ext cx="5400000" cy="2880000"/>
    <xdr:graphicFrame>
      <xdr:nvGraphicFramePr>
        <xdr:cNvPr id="3" name="Chart 2"/>
        <xdr:cNvGraphicFramePr/>
      </xdr:nvGraphicFramePr>
      <xdr:xfrm>
        <a:off x="14325600" y="7823200"/>
        <a:ext cx="539940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62</xdr:row>
      <xdr:rowOff>0</xdr:rowOff>
    </xdr:from>
    <xdr:ext cx="5400000" cy="2880000"/>
    <xdr:graphicFrame>
      <xdr:nvGraphicFramePr>
        <xdr:cNvPr id="4" name="Chart 3"/>
        <xdr:cNvGraphicFramePr/>
      </xdr:nvGraphicFramePr>
      <xdr:xfrm>
        <a:off x="304800" y="17881600"/>
        <a:ext cx="539940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0</xdr:colOff>
      <xdr:row>43</xdr:row>
      <xdr:rowOff>0</xdr:rowOff>
    </xdr:from>
    <xdr:ext cx="5400000" cy="2880000"/>
    <xdr:graphicFrame>
      <xdr:nvGraphicFramePr>
        <xdr:cNvPr id="5" name="Chart 4"/>
        <xdr:cNvGraphicFramePr/>
      </xdr:nvGraphicFramePr>
      <xdr:xfrm>
        <a:off x="14325600" y="12573000"/>
        <a:ext cx="539940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46</xdr:row>
      <xdr:rowOff>0</xdr:rowOff>
    </xdr:from>
    <xdr:ext cx="4320000" cy="2520000"/>
    <xdr:graphicFrame>
      <xdr:nvGraphicFramePr>
        <xdr:cNvPr id="6" name="Chart 5"/>
        <xdr:cNvGraphicFramePr/>
      </xdr:nvGraphicFramePr>
      <xdr:xfrm>
        <a:off x="304800" y="13411200"/>
        <a:ext cx="431990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0</xdr:colOff>
      <xdr:row>46</xdr:row>
      <xdr:rowOff>0</xdr:rowOff>
    </xdr:from>
    <xdr:ext cx="4320000" cy="2520000"/>
    <xdr:graphicFrame>
      <xdr:nvGraphicFramePr>
        <xdr:cNvPr id="7" name="Chart 6"/>
        <xdr:cNvGraphicFramePr/>
      </xdr:nvGraphicFramePr>
      <xdr:xfrm>
        <a:off x="7324725" y="13411200"/>
        <a:ext cx="431990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0</xdr:colOff>
      <xdr:row>4</xdr:row>
      <xdr:rowOff>0</xdr:rowOff>
    </xdr:from>
    <xdr:ext cx="5400000" cy="2880000"/>
    <xdr:graphicFrame>
      <xdr:nvGraphicFramePr>
        <xdr:cNvPr id="2" name="Chart 1"/>
        <xdr:cNvGraphicFramePr/>
      </xdr:nvGraphicFramePr>
      <xdr:xfrm>
        <a:off x="13411200" y="1117600"/>
        <a:ext cx="539940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20</xdr:row>
      <xdr:rowOff>0</xdr:rowOff>
    </xdr:from>
    <xdr:ext cx="5400000" cy="2880000"/>
    <xdr:graphicFrame>
      <xdr:nvGraphicFramePr>
        <xdr:cNvPr id="3" name="Chart 2"/>
        <xdr:cNvGraphicFramePr/>
      </xdr:nvGraphicFramePr>
      <xdr:xfrm>
        <a:off x="13411200" y="5588000"/>
        <a:ext cx="539940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0</xdr:colOff>
      <xdr:row>4</xdr:row>
      <xdr:rowOff>0</xdr:rowOff>
    </xdr:from>
    <xdr:ext cx="5760000" cy="2880000"/>
    <xdr:graphicFrame>
      <xdr:nvGraphicFramePr>
        <xdr:cNvPr id="2" name="Chart 1"/>
        <xdr:cNvGraphicFramePr/>
      </xdr:nvGraphicFramePr>
      <xdr:xfrm>
        <a:off x="14478000" y="1117600"/>
        <a:ext cx="5759450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21</xdr:row>
      <xdr:rowOff>0</xdr:rowOff>
    </xdr:from>
    <xdr:ext cx="5760000" cy="2880000"/>
    <xdr:graphicFrame>
      <xdr:nvGraphicFramePr>
        <xdr:cNvPr id="3" name="Chart 2"/>
        <xdr:cNvGraphicFramePr/>
      </xdr:nvGraphicFramePr>
      <xdr:xfrm>
        <a:off x="14478000" y="5867400"/>
        <a:ext cx="5759450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0</xdr:colOff>
      <xdr:row>4</xdr:row>
      <xdr:rowOff>0</xdr:rowOff>
    </xdr:from>
    <xdr:ext cx="5760000" cy="2880000"/>
    <xdr:graphicFrame>
      <xdr:nvGraphicFramePr>
        <xdr:cNvPr id="2" name="Chart 1"/>
        <xdr:cNvGraphicFramePr/>
      </xdr:nvGraphicFramePr>
      <xdr:xfrm>
        <a:off x="14478000" y="1117600"/>
        <a:ext cx="5759450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21</xdr:row>
      <xdr:rowOff>0</xdr:rowOff>
    </xdr:from>
    <xdr:ext cx="5760000" cy="2880000"/>
    <xdr:graphicFrame>
      <xdr:nvGraphicFramePr>
        <xdr:cNvPr id="3" name="Chart 2"/>
        <xdr:cNvGraphicFramePr/>
      </xdr:nvGraphicFramePr>
      <xdr:xfrm>
        <a:off x="14478000" y="5867400"/>
        <a:ext cx="5759450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0</xdr:colOff>
      <xdr:row>4</xdr:row>
      <xdr:rowOff>0</xdr:rowOff>
    </xdr:from>
    <xdr:ext cx="5760000" cy="2880000"/>
    <xdr:graphicFrame>
      <xdr:nvGraphicFramePr>
        <xdr:cNvPr id="2" name="Chart 1"/>
        <xdr:cNvGraphicFramePr/>
      </xdr:nvGraphicFramePr>
      <xdr:xfrm>
        <a:off x="14478000" y="1117600"/>
        <a:ext cx="5759450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21</xdr:row>
      <xdr:rowOff>0</xdr:rowOff>
    </xdr:from>
    <xdr:ext cx="5760000" cy="2880000"/>
    <xdr:graphicFrame>
      <xdr:nvGraphicFramePr>
        <xdr:cNvPr id="3" name="Chart 2"/>
        <xdr:cNvGraphicFramePr/>
      </xdr:nvGraphicFramePr>
      <xdr:xfrm>
        <a:off x="14478000" y="5867400"/>
        <a:ext cx="5759450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0"/>
  <sheetViews>
    <sheetView showGridLines="0" workbookViewId="0">
      <selection activeCell="M23" sqref="M23"/>
    </sheetView>
  </sheetViews>
  <sheetFormatPr defaultColWidth="9" defaultRowHeight="13.5"/>
  <cols>
    <col min="1" max="1" width="4" customWidth="1"/>
    <col min="2" max="5" width="16" customWidth="1"/>
    <col min="6" max="6" width="19.75" customWidth="1"/>
    <col min="7" max="7" width="8.375" customWidth="1"/>
    <col min="8" max="8" width="27.875" customWidth="1"/>
    <col min="9" max="12" width="16" customWidth="1"/>
    <col min="13" max="23" width="14" customWidth="1"/>
  </cols>
  <sheetData>
    <row r="1" ht="22" customHeight="1" spans="1:23">
      <c r="A1" s="6" t="s">
        <v>0</v>
      </c>
    </row>
    <row r="2" ht="22" customHeight="1" spans="1:23">
      <c r="A2" s="19" t="s">
        <v>1</v>
      </c>
    </row>
    <row r="3" ht="22" customHeight="1" spans="1:23">
      <c r="A3" s="8"/>
      <c r="B3" s="9" t="s">
        <v>2</v>
      </c>
      <c r="C3" s="10">
        <f>MAX(销售明细!A2:A500)</f>
        <v>46172</v>
      </c>
      <c r="D3" s="8"/>
      <c r="E3" s="9" t="s">
        <v>3</v>
      </c>
      <c r="F3" s="11" t="s">
        <v>4</v>
      </c>
      <c r="G3" s="8"/>
      <c r="H3" s="9" t="s">
        <v>5</v>
      </c>
      <c r="I3" s="11" t="s">
        <v>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ht="22" customHeight="1" spans="1:2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ht="22" customHeight="1" spans="1:23">
      <c r="A5" s="8"/>
      <c r="B5" s="20" t="s">
        <v>6</v>
      </c>
      <c r="C5" s="16"/>
      <c r="D5" s="20" t="s">
        <v>7</v>
      </c>
      <c r="E5" s="16"/>
      <c r="F5" s="8"/>
      <c r="G5" s="8"/>
      <c r="H5" s="20" t="s">
        <v>8</v>
      </c>
      <c r="I5" s="16"/>
      <c r="J5" s="20" t="s">
        <v>9</v>
      </c>
      <c r="K5" s="16"/>
      <c r="L5" s="8"/>
      <c r="M5" s="20" t="s">
        <v>10</v>
      </c>
      <c r="N5" s="16"/>
      <c r="O5" s="8"/>
      <c r="P5" s="20" t="s">
        <v>11</v>
      </c>
      <c r="Q5" s="16"/>
      <c r="R5" s="8"/>
      <c r="S5" s="8"/>
      <c r="T5" s="8"/>
      <c r="U5" s="8"/>
      <c r="V5" s="8"/>
      <c r="W5" s="8"/>
    </row>
    <row r="6" ht="22" customHeight="1" spans="1:23">
      <c r="A6" s="8"/>
      <c r="B6" s="21" t="e">
        <f>SUM('1-KA大盘出货数据'!C7:C14)</f>
        <v>#VALUE!</v>
      </c>
      <c r="C6" s="16"/>
      <c r="D6" s="22" t="e">
        <f>SUM('1-KA大盘出货数据'!D7:D14)</f>
        <v>#VALUE!</v>
      </c>
      <c r="E6" s="16"/>
      <c r="F6" s="8"/>
      <c r="G6" s="8"/>
      <c r="H6" s="23">
        <f>SUM('1-KA大盘出货数据'!F7:F14)</f>
        <v>182960</v>
      </c>
      <c r="I6" s="16"/>
      <c r="J6" s="24">
        <f>IFERROR(D6/H6,0)</f>
        <v>0</v>
      </c>
      <c r="K6" s="16"/>
      <c r="L6" s="8"/>
      <c r="M6" s="25">
        <f>SUM('4-超60天门店排名'!D7:D11)</f>
        <v>0</v>
      </c>
      <c r="N6" s="16"/>
      <c r="O6" s="8"/>
      <c r="P6" s="26">
        <f>AVERAGE('3-门店库存周转天数'!G7:G12)</f>
        <v>7.96351197263398</v>
      </c>
      <c r="Q6" s="16"/>
      <c r="R6" s="8"/>
      <c r="S6" s="8"/>
      <c r="T6" s="8"/>
      <c r="U6" s="8"/>
      <c r="V6" s="8"/>
      <c r="W6" s="8"/>
    </row>
    <row r="7" ht="22" customHeight="1" spans="1:23">
      <c r="A7" s="8"/>
      <c r="B7" s="27" t="s">
        <v>12</v>
      </c>
      <c r="C7" s="16"/>
      <c r="D7" s="27" t="s">
        <v>12</v>
      </c>
      <c r="E7" s="16"/>
      <c r="F7" s="8"/>
      <c r="G7" s="8"/>
      <c r="H7" s="27" t="s">
        <v>12</v>
      </c>
      <c r="I7" s="16"/>
      <c r="J7" s="27" t="s">
        <v>12</v>
      </c>
      <c r="K7" s="16"/>
      <c r="L7" s="8"/>
      <c r="M7" s="27" t="s">
        <v>12</v>
      </c>
      <c r="N7" s="16"/>
      <c r="O7" s="8"/>
      <c r="P7" s="27" t="s">
        <v>12</v>
      </c>
      <c r="Q7" s="16"/>
      <c r="R7" s="8"/>
      <c r="S7" s="8"/>
      <c r="T7" s="8"/>
      <c r="U7" s="8"/>
      <c r="V7" s="8"/>
      <c r="W7" s="8"/>
    </row>
    <row r="8" ht="22" customHeight="1" spans="1:23">
      <c r="A8" s="8"/>
      <c r="B8" s="16"/>
      <c r="C8" s="16"/>
      <c r="D8" s="16"/>
      <c r="E8" s="16"/>
      <c r="F8" s="8"/>
      <c r="G8" s="8"/>
      <c r="H8" s="16"/>
      <c r="I8" s="16"/>
      <c r="J8" s="16"/>
      <c r="K8" s="16"/>
      <c r="L8" s="8"/>
      <c r="M8" s="16"/>
      <c r="N8" s="16"/>
      <c r="O8" s="8"/>
      <c r="P8" s="16"/>
      <c r="Q8" s="16"/>
      <c r="R8" s="8"/>
      <c r="S8" s="8"/>
      <c r="T8" s="8"/>
      <c r="U8" s="8"/>
      <c r="V8" s="8"/>
      <c r="W8" s="8"/>
    </row>
    <row r="9" ht="22" customHeight="1" spans="1:2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22" customHeight="1" spans="1:23">
      <c r="A10" s="8"/>
      <c r="B10" s="12" t="s">
        <v>13</v>
      </c>
      <c r="C10" s="28"/>
      <c r="D10" s="28"/>
      <c r="E10" s="28"/>
      <c r="F10" s="28"/>
      <c r="G10" s="28"/>
      <c r="H10" s="28"/>
      <c r="I10" s="28"/>
      <c r="J10" s="28"/>
      <c r="K10" s="2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ht="22" customHeight="1" spans="1:23">
      <c r="A11" s="8"/>
      <c r="B11" s="15" t="s">
        <v>14</v>
      </c>
      <c r="C11" s="15" t="s">
        <v>15</v>
      </c>
      <c r="D11" s="15" t="s">
        <v>16</v>
      </c>
      <c r="E11" s="15" t="s">
        <v>17</v>
      </c>
      <c r="F11" s="15" t="s">
        <v>18</v>
      </c>
      <c r="G11" s="15" t="s">
        <v>19</v>
      </c>
      <c r="H11" s="15" t="s">
        <v>20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36" customHeight="1" spans="1:23">
      <c r="A12" s="8"/>
      <c r="B12" s="16" t="s">
        <v>21</v>
      </c>
      <c r="C12" s="16" t="s">
        <v>22</v>
      </c>
      <c r="D12" s="17" t="e">
        <f>SUM('1-KA大盘出货数据'!D7:D14)</f>
        <v>#VALUE!</v>
      </c>
      <c r="E12" s="16">
        <v>2</v>
      </c>
      <c r="F12" s="16" t="s">
        <v>23</v>
      </c>
      <c r="G12" s="16" t="str">
        <f>IF(C12=0,"出货金额缺失","可用")</f>
        <v>可用</v>
      </c>
      <c r="H12" s="16" t="s">
        <v>24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ht="33" customHeight="1" spans="1:23">
      <c r="A13" s="8"/>
      <c r="B13" s="16" t="s">
        <v>25</v>
      </c>
      <c r="C13" s="16" t="s">
        <v>26</v>
      </c>
      <c r="D13" s="17">
        <f>SUM('2-单品出货POS对比'!F7:F12)</f>
        <v>137220</v>
      </c>
      <c r="E13" s="16">
        <v>2</v>
      </c>
      <c r="F13" s="16" t="s">
        <v>27</v>
      </c>
      <c r="G13" s="16" t="str">
        <f>IF(C13=0,"POS额缺失","可用")</f>
        <v>可用</v>
      </c>
      <c r="H13" s="16" t="s">
        <v>28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32" customHeight="1" spans="1:23">
      <c r="A14" s="8"/>
      <c r="B14" s="16" t="s">
        <v>29</v>
      </c>
      <c r="C14" s="16" t="s">
        <v>30</v>
      </c>
      <c r="D14" s="17">
        <f>AVERAGE('3-门店库存周转天数'!G7:G12)</f>
        <v>7.96351197263398</v>
      </c>
      <c r="E14" s="16">
        <v>2</v>
      </c>
      <c r="F14" s="16" t="s">
        <v>31</v>
      </c>
      <c r="G14" s="16" t="str">
        <f>IF(C14&gt;60,"高风险","可用")</f>
        <v>高风险</v>
      </c>
      <c r="H14" s="16" t="s">
        <v>32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ht="31" customHeight="1" spans="1:23">
      <c r="A15" s="8"/>
      <c r="B15" s="16" t="s">
        <v>33</v>
      </c>
      <c r="C15" s="16" t="s">
        <v>34</v>
      </c>
      <c r="D15" s="17">
        <f>SUM('4-超60天门店排名'!D7:D11)</f>
        <v>0</v>
      </c>
      <c r="E15" s="16">
        <v>2</v>
      </c>
      <c r="F15" s="16" t="s">
        <v>35</v>
      </c>
      <c r="G15" s="16" t="str">
        <f>IF(C15&gt;0,"需处理","正常")</f>
        <v>需处理</v>
      </c>
      <c r="H15" s="16" t="s">
        <v>36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ht="22" customHeight="1" spans="1:2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ht="22" customHeight="1" spans="1:2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ht="22" customHeight="1" spans="1:23">
      <c r="A18" s="8"/>
      <c r="B18" s="15" t="s">
        <v>3</v>
      </c>
      <c r="C18" s="15" t="s">
        <v>7</v>
      </c>
      <c r="D18" s="15" t="s">
        <v>8</v>
      </c>
      <c r="E18" s="15" t="s">
        <v>9</v>
      </c>
      <c r="F18" s="8"/>
      <c r="G18" s="8"/>
      <c r="H18" s="15" t="s">
        <v>37</v>
      </c>
      <c r="I18" s="15" t="s">
        <v>38</v>
      </c>
      <c r="J18" s="15" t="s">
        <v>39</v>
      </c>
      <c r="K18" s="15" t="s">
        <v>9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ht="22" customHeight="1" spans="1:23">
      <c r="A19" s="8"/>
      <c r="B19" s="16" t="str">
        <f>'1-KA大盘出货数据'!B7</f>
        <v>大润发</v>
      </c>
      <c r="C19" s="17" t="e">
        <f>'1-KA大盘出货数据'!D7</f>
        <v>#VALUE!</v>
      </c>
      <c r="D19" s="17">
        <f>'1-KA大盘出货数据'!F7</f>
        <v>22870</v>
      </c>
      <c r="E19" s="18">
        <f t="shared" ref="E19:E26" si="0">IFERROR(C19/D19,0)</f>
        <v>0</v>
      </c>
      <c r="F19" s="8"/>
      <c r="G19" s="8"/>
      <c r="H19" s="16" t="str">
        <f>'2-单品出货POS对比'!D7</f>
        <v>脱骨侠无骨鸡爪(柠檬味)</v>
      </c>
      <c r="I19" s="17" t="e">
        <f>'2-单品出货POS对比'!E7</f>
        <v>#VALUE!</v>
      </c>
      <c r="J19" s="17">
        <f>'2-单品出货POS对比'!F7</f>
        <v>22870</v>
      </c>
      <c r="K19" s="18">
        <f>'2-单品出货POS对比'!H7</f>
        <v>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ht="22" customHeight="1" spans="1:23">
      <c r="A20" s="8"/>
      <c r="B20" s="16" t="str">
        <f>'1-KA大盘出货数据'!B8</f>
        <v>盒马</v>
      </c>
      <c r="C20" s="17" t="e">
        <f>'1-KA大盘出货数据'!D8</f>
        <v>#VALUE!</v>
      </c>
      <c r="D20" s="17">
        <f>'1-KA大盘出货数据'!F8</f>
        <v>22870</v>
      </c>
      <c r="E20" s="18">
        <f t="shared" si="0"/>
        <v>0</v>
      </c>
      <c r="F20" s="8"/>
      <c r="G20" s="8"/>
      <c r="H20" s="16" t="str">
        <f>'2-单品出货POS对比'!D8</f>
        <v>脱骨侠虎皮凤爪(白松露味)</v>
      </c>
      <c r="I20" s="17" t="e">
        <f>'2-单品出货POS对比'!E8</f>
        <v>#VALUE!</v>
      </c>
      <c r="J20" s="17">
        <f>'2-单品出货POS对比'!F8</f>
        <v>22870</v>
      </c>
      <c r="K20" s="18">
        <f>'2-单品出货POS对比'!H8</f>
        <v>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ht="22" customHeight="1" spans="1:23">
      <c r="A21" s="8"/>
      <c r="B21" s="16" t="str">
        <f>'1-KA大盘出货数据'!B9</f>
        <v>华润</v>
      </c>
      <c r="C21" s="17" t="e">
        <f>'1-KA大盘出货数据'!D9</f>
        <v>#VALUE!</v>
      </c>
      <c r="D21" s="17">
        <f>'1-KA大盘出货数据'!F9</f>
        <v>22870</v>
      </c>
      <c r="E21" s="18">
        <f t="shared" si="0"/>
        <v>0</v>
      </c>
      <c r="F21" s="8"/>
      <c r="G21" s="8"/>
      <c r="H21" s="16" t="str">
        <f>'2-单品出货POS对比'!D9</f>
        <v>常温脱骨侠无骨鸡爪柠檬</v>
      </c>
      <c r="I21" s="17" t="e">
        <f>'2-单品出货POS对比'!E9</f>
        <v>#VALUE!</v>
      </c>
      <c r="J21" s="17">
        <f>'2-单品出货POS对比'!F9</f>
        <v>22870</v>
      </c>
      <c r="K21" s="18">
        <f>'2-单品出货POS对比'!H9</f>
        <v>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22" customHeight="1" spans="1:23">
      <c r="A22" s="8"/>
      <c r="B22" s="16" t="str">
        <f>'1-KA大盘出货数据'!B10</f>
        <v>沃尔玛</v>
      </c>
      <c r="C22" s="17" t="e">
        <f>'1-KA大盘出货数据'!D10</f>
        <v>#VALUE!</v>
      </c>
      <c r="D22" s="17">
        <f>'1-KA大盘出货数据'!F10</f>
        <v>22870</v>
      </c>
      <c r="E22" s="18">
        <f t="shared" si="0"/>
        <v>0</v>
      </c>
      <c r="F22" s="8"/>
      <c r="G22" s="8"/>
      <c r="H22" s="16" t="str">
        <f>'2-单品出货POS对比'!D10</f>
        <v>盒马工坊 蒜香无骨鸡爪 230g</v>
      </c>
      <c r="I22" s="17" t="e">
        <f>'2-单品出货POS对比'!E10</f>
        <v>#VALUE!</v>
      </c>
      <c r="J22" s="17">
        <f>'2-单品出货POS对比'!F10</f>
        <v>22870</v>
      </c>
      <c r="K22" s="18">
        <f>'2-单品出货POS对比'!H10</f>
        <v>0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ht="22" customHeight="1" spans="1:23">
      <c r="A23" s="8"/>
      <c r="B23" s="16" t="str">
        <f>'1-KA大盘出货数据'!B11</f>
        <v>永辉</v>
      </c>
      <c r="C23" s="17" t="e">
        <f>'1-KA大盘出货数据'!D11</f>
        <v>#VALUE!</v>
      </c>
      <c r="D23" s="17">
        <f>'1-KA大盘出货数据'!F11</f>
        <v>22870</v>
      </c>
      <c r="E23" s="18">
        <f t="shared" si="0"/>
        <v>0</v>
      </c>
      <c r="F23" s="8"/>
      <c r="G23" s="8"/>
      <c r="H23" s="16" t="str">
        <f>'2-单品出货POS对比'!D11</f>
        <v>脱骨侠双椒无骨鸭掌</v>
      </c>
      <c r="I23" s="17" t="e">
        <f>'2-单品出货POS对比'!E11</f>
        <v>#VALUE!</v>
      </c>
      <c r="J23" s="17">
        <f>'2-单品出货POS对比'!F11</f>
        <v>22870</v>
      </c>
      <c r="K23" s="18">
        <f>'2-单品出货POS对比'!H11</f>
        <v>0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ht="22" customHeight="1" spans="1:23">
      <c r="A24" s="8"/>
      <c r="B24" s="16" t="str">
        <f>'1-KA大盘出货数据'!B12</f>
        <v>天虹</v>
      </c>
      <c r="C24" s="17" t="e">
        <f>'1-KA大盘出货数据'!D12</f>
        <v>#VALUE!</v>
      </c>
      <c r="D24" s="17">
        <f>'1-KA大盘出货数据'!F12</f>
        <v>22870</v>
      </c>
      <c r="E24" s="18">
        <f t="shared" si="0"/>
        <v>0</v>
      </c>
      <c r="F24" s="8"/>
      <c r="G24" s="8"/>
      <c r="H24" s="16" t="str">
        <f>'2-单品出货POS对比'!D12</f>
        <v>脱骨侠酸辣柠檬无骨鸡爪780g</v>
      </c>
      <c r="I24" s="17" t="e">
        <f>'2-单品出货POS对比'!E12</f>
        <v>#VALUE!</v>
      </c>
      <c r="J24" s="17">
        <f>'2-单品出货POS对比'!F12</f>
        <v>22870</v>
      </c>
      <c r="K24" s="18">
        <f>'2-单品出货POS对比'!H12</f>
        <v>0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ht="22" customHeight="1" spans="1:23">
      <c r="A25" s="8"/>
      <c r="B25" s="16" t="str">
        <f>'1-KA大盘出货数据'!B13</f>
        <v>比优特</v>
      </c>
      <c r="C25" s="17" t="e">
        <f>'1-KA大盘出货数据'!D13</f>
        <v>#VALUE!</v>
      </c>
      <c r="D25" s="17">
        <f>'1-KA大盘出货数据'!F13</f>
        <v>22870</v>
      </c>
      <c r="E25" s="18">
        <f t="shared" si="0"/>
        <v>0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ht="22" customHeight="1" spans="1:23">
      <c r="A26" s="8"/>
      <c r="B26" s="16" t="str">
        <f>'1-KA大盘出货数据'!B14</f>
        <v>家得福</v>
      </c>
      <c r="C26" s="17" t="e">
        <f>'1-KA大盘出货数据'!D14</f>
        <v>#VALUE!</v>
      </c>
      <c r="D26" s="17">
        <f>'1-KA大盘出货数据'!F14</f>
        <v>22870</v>
      </c>
      <c r="E26" s="18">
        <f t="shared" si="0"/>
        <v>0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ht="22" customHeight="1" spans="1:2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ht="22" customHeight="1" spans="1:2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ht="22" customHeight="1" spans="1:2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ht="22" customHeight="1" spans="1:23">
      <c r="A30" s="8"/>
      <c r="B30" s="15" t="s">
        <v>40</v>
      </c>
      <c r="C30" s="15" t="s">
        <v>41</v>
      </c>
      <c r="D30" s="15" t="s">
        <v>42</v>
      </c>
      <c r="E30" s="15" t="s">
        <v>43</v>
      </c>
      <c r="F30" s="8"/>
      <c r="G30" s="8"/>
      <c r="H30" s="15" t="s">
        <v>5</v>
      </c>
      <c r="I30" s="15" t="s">
        <v>44</v>
      </c>
      <c r="J30" s="15" t="s">
        <v>11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ht="22" customHeight="1" spans="1:23">
      <c r="A31" s="8"/>
      <c r="B31" s="16" t="str">
        <f>'3-门店库存周转天数'!B7&amp;"-"&amp;'3-门店库存周转天数'!D7</f>
        <v>华东-脱骨侠无骨鸡爪(柠檬味)</v>
      </c>
      <c r="C31" s="17">
        <f>'3-门店库存周转天数'!E7</f>
        <v>181584</v>
      </c>
      <c r="D31" s="17">
        <f>'3-门店库存周转天数'!F7</f>
        <v>22802</v>
      </c>
      <c r="E31" s="17">
        <f>'3-门店库存周转天数'!G7</f>
        <v>7.96351197263398</v>
      </c>
      <c r="F31" s="8"/>
      <c r="G31" s="8"/>
      <c r="H31" s="16" t="str">
        <f>'4-超60天门店排名'!C7</f>
        <v/>
      </c>
      <c r="I31" s="17">
        <f>'4-超60天门店排名'!D7</f>
        <v>0</v>
      </c>
      <c r="J31" s="17" t="str">
        <f>'4-超60天门店排名'!G7</f>
        <v/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ht="22" customHeight="1" spans="1:23">
      <c r="A32" s="8"/>
      <c r="B32" s="16" t="str">
        <f>'3-门店库存周转天数'!B8&amp;"-"&amp;'3-门店库存周转天数'!D8</f>
        <v>华南-脱骨侠虎皮凤爪(白松露味)</v>
      </c>
      <c r="C32" s="17">
        <f>'3-门店库存周转天数'!E8</f>
        <v>181584</v>
      </c>
      <c r="D32" s="17">
        <f>'3-门店库存周转天数'!F8</f>
        <v>22802</v>
      </c>
      <c r="E32" s="17">
        <f>'3-门店库存周转天数'!G8</f>
        <v>7.96351197263398</v>
      </c>
      <c r="F32" s="8"/>
      <c r="G32" s="8"/>
      <c r="H32" s="16" t="str">
        <f>'4-超60天门店排名'!C8</f>
        <v/>
      </c>
      <c r="I32" s="17">
        <f>'4-超60天门店排名'!D8</f>
        <v>0</v>
      </c>
      <c r="J32" s="17" t="str">
        <f>'4-超60天门店排名'!G8</f>
        <v/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ht="22" customHeight="1" spans="1:23">
      <c r="A33" s="8"/>
      <c r="B33" s="16" t="str">
        <f>'3-门店库存周转天数'!B9&amp;"-"&amp;'3-门店库存周转天数'!D9</f>
        <v>华南-常温脱骨侠无骨鸡爪柠檬</v>
      </c>
      <c r="C33" s="17">
        <f>'3-门店库存周转天数'!E9</f>
        <v>181584</v>
      </c>
      <c r="D33" s="17">
        <f>'3-门店库存周转天数'!F9</f>
        <v>22802</v>
      </c>
      <c r="E33" s="17">
        <f>'3-门店库存周转天数'!G9</f>
        <v>7.96351197263398</v>
      </c>
      <c r="F33" s="8"/>
      <c r="G33" s="8"/>
      <c r="H33" s="16" t="str">
        <f>'4-超60天门店排名'!C9</f>
        <v/>
      </c>
      <c r="I33" s="17">
        <f>'4-超60天门店排名'!D9</f>
        <v>0</v>
      </c>
      <c r="J33" s="17" t="str">
        <f>'4-超60天门店排名'!G9</f>
        <v/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ht="22" customHeight="1" spans="1:23">
      <c r="A34" s="8"/>
      <c r="B34" s="16" t="str">
        <f>'3-门店库存周转天数'!B10&amp;"-"&amp;'3-门店库存周转天数'!D10</f>
        <v>华北-脱骨侠无骨鸡爪(柠檬味)158g</v>
      </c>
      <c r="C34" s="17">
        <f>'3-门店库存周转天数'!E10</f>
        <v>181584</v>
      </c>
      <c r="D34" s="17">
        <f>'3-门店库存周转天数'!F10</f>
        <v>22802</v>
      </c>
      <c r="E34" s="17">
        <f>'3-门店库存周转天数'!G10</f>
        <v>7.96351197263398</v>
      </c>
      <c r="F34" s="8"/>
      <c r="G34" s="8"/>
      <c r="H34" s="16" t="str">
        <f>'4-超60天门店排名'!C10</f>
        <v/>
      </c>
      <c r="I34" s="17">
        <f>'4-超60天门店排名'!D10</f>
        <v>0</v>
      </c>
      <c r="J34" s="17" t="str">
        <f>'4-超60天门店排名'!G10</f>
        <v/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ht="22" customHeight="1" spans="1:23">
      <c r="A35" s="8"/>
      <c r="B35" s="16" t="str">
        <f>'3-门店库存周转天数'!B11&amp;"-"&amp;'3-门店库存周转天数'!D11</f>
        <v>华中-盒马工坊 蒜香无骨鸡爪 230g</v>
      </c>
      <c r="C35" s="17">
        <f>'3-门店库存周转天数'!E11</f>
        <v>181584</v>
      </c>
      <c r="D35" s="17">
        <f>'3-门店库存周转天数'!F11</f>
        <v>22802</v>
      </c>
      <c r="E35" s="17">
        <f>'3-门店库存周转天数'!G11</f>
        <v>7.96351197263398</v>
      </c>
      <c r="F35" s="8"/>
      <c r="G35" s="8"/>
      <c r="H35" s="16" t="str">
        <f>'4-超60天门店排名'!C11</f>
        <v/>
      </c>
      <c r="I35" s="17">
        <f>'4-超60天门店排名'!D11</f>
        <v>0</v>
      </c>
      <c r="J35" s="17" t="str">
        <f>'4-超60天门店排名'!G11</f>
        <v/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ht="22" customHeight="1" spans="1:23">
      <c r="A36" s="8"/>
      <c r="B36" s="16" t="str">
        <f>'3-门店库存周转天数'!B12&amp;"-"&amp;'3-门店库存周转天数'!D12</f>
        <v>华东-脱骨侠酸辣柠檬无骨鸡爪780g</v>
      </c>
      <c r="C36" s="17">
        <f>'3-门店库存周转天数'!E12</f>
        <v>181584</v>
      </c>
      <c r="D36" s="17">
        <f>'3-门店库存周转天数'!F12</f>
        <v>22802</v>
      </c>
      <c r="E36" s="17">
        <f>'3-门店库存周转天数'!G12</f>
        <v>7.96351197263398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ht="22" customHeight="1" spans="1:2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ht="22" customHeight="1" spans="1:2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ht="22" customHeight="1" spans="1:2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ht="22" customHeight="1" spans="1:2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ht="22" customHeight="1" spans="1:2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ht="22" customHeight="1" spans="1:23">
      <c r="A42" s="8"/>
      <c r="B42" s="15" t="s">
        <v>45</v>
      </c>
      <c r="C42" s="15" t="s">
        <v>46</v>
      </c>
      <c r="D42" s="15" t="s">
        <v>47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ht="22" customHeight="1" spans="1:23">
      <c r="A43" s="8"/>
      <c r="B43" s="16" t="s">
        <v>48</v>
      </c>
      <c r="C43" s="16">
        <f>COUNTA(销售明细!A2:A500)</f>
        <v>15</v>
      </c>
      <c r="D43" s="16" t="s">
        <v>49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ht="22" customHeight="1" spans="1:23">
      <c r="A44" s="8"/>
      <c r="B44" s="16" t="s">
        <v>31</v>
      </c>
      <c r="C44" s="16">
        <f>COUNTA(库存明细!A2:A500)</f>
        <v>9</v>
      </c>
      <c r="D44" s="16" t="s">
        <v>50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ht="22" customHeight="1" spans="1:23">
      <c r="A45" s="8"/>
      <c r="B45" s="16" t="s">
        <v>51</v>
      </c>
      <c r="C45" s="16">
        <f>COUNTA(出货退货!A2:A500)</f>
        <v>4</v>
      </c>
      <c r="D45" s="16" t="s">
        <v>52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ht="22" customHeight="1" spans="1:2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ht="22" customHeight="1" spans="1:2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ht="22" customHeight="1" spans="1:2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ht="22" customHeight="1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ht="22" customHeight="1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ht="22" customHeight="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ht="22" customHeight="1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ht="22" customHeight="1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ht="22" customHeight="1" spans="1:23">
      <c r="A54" s="8"/>
      <c r="B54" s="12" t="s">
        <v>53</v>
      </c>
      <c r="C54" s="28"/>
      <c r="D54" s="28"/>
      <c r="E54" s="28"/>
      <c r="F54" s="28"/>
      <c r="G54" s="28"/>
      <c r="H54" s="28"/>
      <c r="I54" s="28"/>
      <c r="J54" s="28"/>
      <c r="K54" s="2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ht="22" customHeight="1" spans="1:23">
      <c r="A55" s="8"/>
      <c r="B55" s="15" t="s">
        <v>54</v>
      </c>
      <c r="C55" s="15" t="s">
        <v>55</v>
      </c>
      <c r="D55" s="15" t="s">
        <v>56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ht="22" customHeight="1" spans="1:23">
      <c r="A56" s="8"/>
      <c r="B56" s="16" t="s">
        <v>57</v>
      </c>
      <c r="C56" s="16">
        <f>COUNTA(销售明细!A2:A500)</f>
        <v>15</v>
      </c>
      <c r="D56" s="16" t="s">
        <v>58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ht="22" customHeight="1" spans="1:23">
      <c r="A57" s="8"/>
      <c r="B57" s="16" t="s">
        <v>59</v>
      </c>
      <c r="C57" s="16">
        <f>COUNTA(库存明细!A2:A500)</f>
        <v>9</v>
      </c>
      <c r="D57" s="16" t="s">
        <v>60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ht="22" customHeight="1" spans="1:23">
      <c r="A58" s="8"/>
      <c r="B58" s="16" t="s">
        <v>61</v>
      </c>
      <c r="C58" s="16">
        <f>COUNTA(出货退货!A2:A500)</f>
        <v>4</v>
      </c>
      <c r="D58" s="16" t="s">
        <v>62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ht="22" customHeight="1" spans="1:23">
      <c r="A59" s="8"/>
      <c r="B59" s="16" t="s">
        <v>63</v>
      </c>
      <c r="C59" s="16">
        <f>COUNTIF('1-KA大盘出货数据'!J7:J14,"缺出货金额")</f>
        <v>0</v>
      </c>
      <c r="D59" s="16" t="s">
        <v>64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ht="22" customHeight="1" spans="1:23">
      <c r="A60" s="8"/>
      <c r="B60" s="16" t="s">
        <v>65</v>
      </c>
      <c r="C60" s="16" t="str">
        <f>IF(SUM('4-超60天门店排名'!D7:D11)&gt;0,"存在风险","正常")</f>
        <v>正常</v>
      </c>
      <c r="D60" s="16" t="s">
        <v>66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ht="22" customHeight="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ht="22" customHeight="1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ht="22" customHeight="1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ht="22" customHeight="1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ht="22" customHeight="1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ht="22" customHeight="1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ht="22" customHeight="1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ht="22" customHeight="1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ht="22" customHeight="1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ht="22" customHeight="1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ht="22" customHeight="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ht="22" customHeight="1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ht="22" customHeight="1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ht="22" customHeight="1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ht="22" customHeight="1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ht="22" customHeight="1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ht="22" customHeight="1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ht="22" customHeight="1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ht="22" customHeight="1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ht="22" customHeight="1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ht="22" customHeight="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ht="22" customHeight="1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ht="22" customHeight="1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ht="22" customHeight="1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ht="22" customHeight="1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ht="22" customHeight="1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ht="22" customHeight="1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ht="22" customHeight="1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ht="22" customHeight="1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</sheetData>
  <mergeCells count="4">
    <mergeCell ref="A1:W1"/>
    <mergeCell ref="A2:W2"/>
    <mergeCell ref="B10:K10"/>
    <mergeCell ref="B54:K54"/>
  </mergeCells>
  <conditionalFormatting sqref="C59">
    <cfRule type="cellIs" dxfId="0" priority="1" operator="greaterThan">
      <formula>0</formula>
    </cfRule>
  </conditionalFormatting>
  <conditionalFormatting sqref="C60">
    <cfRule type="cellIs" dxfId="0" priority="2" operator="equal">
      <formula>"存在风险"</formula>
    </cfRule>
  </conditionalFormatting>
  <dataValidations count="2">
    <dataValidation type="list" sqref="F3">
      <formula1>"全部,大润发,盒马,华润,沃尔玛,永辉,天虹,比优特,家得福"</formula1>
    </dataValidation>
    <dataValidation type="list" sqref="I3">
      <formula1>"全部,华东,华南,华北,华中,西北,东北"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0"/>
  <sheetViews>
    <sheetView showGridLines="0" workbookViewId="0">
      <pane ySplit="5" topLeftCell="A6" activePane="bottomLeft" state="frozen"/>
      <selection/>
      <selection pane="bottomLeft" activeCell="A1" sqref="A1:U1"/>
    </sheetView>
  </sheetViews>
  <sheetFormatPr defaultColWidth="9" defaultRowHeight="13.5"/>
  <cols>
    <col min="1" max="1" width="4" customWidth="1"/>
    <col min="2" max="4" width="18" customWidth="1"/>
    <col min="5" max="6" width="20" customWidth="1"/>
    <col min="7" max="10" width="16" customWidth="1"/>
    <col min="11" max="21" width="14" customWidth="1"/>
  </cols>
  <sheetData>
    <row r="1" ht="22" customHeight="1" spans="1:21">
      <c r="A1" s="6" t="s">
        <v>67</v>
      </c>
    </row>
    <row r="2" ht="22" customHeight="1" spans="1:21">
      <c r="A2" s="7" t="s">
        <v>68</v>
      </c>
    </row>
    <row r="3" ht="22" customHeight="1" spans="1:21">
      <c r="A3" s="8"/>
      <c r="B3" s="9" t="s">
        <v>2</v>
      </c>
      <c r="C3" s="10">
        <f>MAX(销售明细!A2:A500)</f>
        <v>46172</v>
      </c>
      <c r="D3" s="8"/>
      <c r="E3" s="9" t="s">
        <v>3</v>
      </c>
      <c r="F3" s="11" t="s">
        <v>4</v>
      </c>
      <c r="G3" s="8"/>
      <c r="H3" s="9" t="s">
        <v>5</v>
      </c>
      <c r="I3" s="11" t="s">
        <v>4</v>
      </c>
      <c r="J3" s="8"/>
      <c r="K3" s="9" t="s">
        <v>69</v>
      </c>
      <c r="L3" s="11" t="s">
        <v>4</v>
      </c>
      <c r="M3" s="8"/>
      <c r="N3" s="8"/>
      <c r="O3" s="8"/>
      <c r="P3" s="8"/>
      <c r="Q3" s="8"/>
      <c r="R3" s="8"/>
      <c r="S3" s="8"/>
      <c r="T3" s="8"/>
      <c r="U3" s="8"/>
    </row>
    <row r="4" ht="22" customHeight="1" spans="1:2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ht="22" customHeight="1" spans="1:21">
      <c r="A5" s="8"/>
      <c r="B5" s="12" t="s">
        <v>70</v>
      </c>
      <c r="C5" s="13"/>
      <c r="D5" s="13"/>
      <c r="E5" s="13"/>
      <c r="F5" s="13"/>
      <c r="G5" s="13"/>
      <c r="H5" s="13"/>
      <c r="I5" s="13"/>
      <c r="J5" s="14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ht="22" customHeight="1" spans="1:21">
      <c r="A6" s="8"/>
      <c r="B6" s="15" t="s">
        <v>3</v>
      </c>
      <c r="C6" s="15" t="s">
        <v>6</v>
      </c>
      <c r="D6" s="15" t="s">
        <v>7</v>
      </c>
      <c r="E6" s="15" t="s">
        <v>71</v>
      </c>
      <c r="F6" s="15" t="s">
        <v>8</v>
      </c>
      <c r="G6" s="15" t="s">
        <v>9</v>
      </c>
      <c r="H6" s="15" t="s">
        <v>72</v>
      </c>
      <c r="I6" s="15" t="s">
        <v>73</v>
      </c>
      <c r="J6" s="15" t="s">
        <v>74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ht="22" customHeight="1" spans="1:21">
      <c r="A7" s="8"/>
      <c r="B7" s="16" t="s">
        <v>75</v>
      </c>
      <c r="C7" s="17" t="e">
        <f>SUMPRODUCT((出货退货!$A$2:$A$500=$C$3)*--((出货退货!$B$2:$B$500=B7)&gt;0)*--((($I$3="全部")+(出货退货!$C$2:$C$500=$I$3))&gt;0)*--((($L$3="全部")+(出货退货!$D$2:$D$500=$L$3))&gt;0)*出货退货!$I$2:$I$500)</f>
        <v>#VALUE!</v>
      </c>
      <c r="D7" s="17" t="e">
        <f>SUMPRODUCT((出货退货!$A$2:$A$500=$C$3)*--((出货退货!$B$2:$B$500=B7)&gt;0)*--((($I$3="全部")+(出货退货!$C$2:$C$500=$I$3))&gt;0)*--((($L$3="全部")+(出货退货!$D$2:$D$500=$L$3))&gt;0)*出货退货!$J$2:$J$500)</f>
        <v>#VALUE!</v>
      </c>
      <c r="E7" s="17">
        <f>SUMPRODUCT((销售明细!$A$2:$A$500=$C$3)*--((销售明细!$B$2:$B$500=B7)&gt;0)*--((($I$3="全部")+(销售明细!$C$2:$C$500=$I$3))&gt;0)*--((($L$3="全部")+(销售明细!$D$2:$D$500=$L$3))&gt;0)*销售明细!$N$2:$N$500)</f>
        <v>1423</v>
      </c>
      <c r="F7" s="17">
        <f>SUMPRODUCT((销售明细!$A$2:$A$500=$C$3)*--((销售明细!$B$2:$B$500=B7)&gt;0)*--((($I$3="全部")+(销售明细!$C$2:$C$500=$I$3))&gt;0)*--((($L$3="全部")+(销售明细!$D$2:$D$500=$L$3))&gt;0)*销售明细!$O$2:$O$500)</f>
        <v>22870</v>
      </c>
      <c r="G7" s="18">
        <f t="shared" ref="G7:G14" si="0">IFERROR(D7/F7,0)</f>
        <v>0</v>
      </c>
      <c r="H7" s="17" t="e">
        <f>SUMPRODUCT((出货退货!$A$2:$A$500=$C$3)*--((出货退货!$B$2:$B$500=B7)&gt;0)*--((($I$3="全部")+(出货退货!$C$2:$C$500=$I$3))&gt;0)*--((($L$3="全部")+(出货退货!$D$2:$D$500=$L$3))&gt;0)*出货退货!$K$2:$K$500)</f>
        <v>#VALUE!</v>
      </c>
      <c r="I7" s="17" t="e">
        <f>SUMPRODUCT((出货退货!$A$2:$A$500=$C$3)*--((出货退货!$B$2:$B$500=B7)&gt;0)*--((($I$3="全部")+(出货退货!$C$2:$C$500=$I$3))&gt;0)*--((($L$3="全部")+(出货退货!$D$2:$D$500=$L$3))&gt;0)*出货退货!$L$2:$L$500)</f>
        <v>#VALUE!</v>
      </c>
      <c r="J7" s="16" t="e">
        <f t="shared" ref="J7:J14" si="1">IF(D7=0,"缺出货金额",IF(C7=0,"缺出货数量","可用"))</f>
        <v>#VALUE!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ht="22" customHeight="1" spans="1:21">
      <c r="A8" s="8"/>
      <c r="B8" s="16" t="s">
        <v>76</v>
      </c>
      <c r="C8" s="17" t="e">
        <f>SUMPRODUCT((出货退货!$A$2:$A$500=$C$3)*--((出货退货!$B$2:$B$500=B8)&gt;0)*--((($I$3="全部")+(出货退货!$C$2:$C$500=$I$3))&gt;0)*--((($L$3="全部")+(出货退货!$D$2:$D$500=$L$3))&gt;0)*出货退货!$I$2:$I$500)</f>
        <v>#VALUE!</v>
      </c>
      <c r="D8" s="17" t="e">
        <f>SUMPRODUCT((出货退货!$A$2:$A$500=$C$3)*--((出货退货!$B$2:$B$500=B8)&gt;0)*--((($I$3="全部")+(出货退货!$C$2:$C$500=$I$3))&gt;0)*--((($L$3="全部")+(出货退货!$D$2:$D$500=$L$3))&gt;0)*出货退货!$J$2:$J$500)</f>
        <v>#VALUE!</v>
      </c>
      <c r="E8" s="17">
        <f>SUMPRODUCT((销售明细!$A$2:$A$500=$C$3)*--((销售明细!$B$2:$B$500=B8)&gt;0)*--((($I$3="全部")+(销售明细!$C$2:$C$500=$I$3))&gt;0)*--((($L$3="全部")+(销售明细!$D$2:$D$500=$L$3))&gt;0)*销售明细!$N$2:$N$500)</f>
        <v>1423</v>
      </c>
      <c r="F8" s="17">
        <f>SUMPRODUCT((销售明细!$A$2:$A$500=$C$3)*--((销售明细!$B$2:$B$500=B8)&gt;0)*--((($I$3="全部")+(销售明细!$C$2:$C$500=$I$3))&gt;0)*--((($L$3="全部")+(销售明细!$D$2:$D$500=$L$3))&gt;0)*销售明细!$O$2:$O$500)</f>
        <v>22870</v>
      </c>
      <c r="G8" s="18">
        <f t="shared" si="0"/>
        <v>0</v>
      </c>
      <c r="H8" s="17" t="e">
        <f>SUMPRODUCT((出货退货!$A$2:$A$500=$C$3)*--((出货退货!$B$2:$B$500=B8)&gt;0)*--((($I$3="全部")+(出货退货!$C$2:$C$500=$I$3))&gt;0)*--((($L$3="全部")+(出货退货!$D$2:$D$500=$L$3))&gt;0)*出货退货!$K$2:$K$500)</f>
        <v>#VALUE!</v>
      </c>
      <c r="I8" s="17" t="e">
        <f>SUMPRODUCT((出货退货!$A$2:$A$500=$C$3)*--((出货退货!$B$2:$B$500=B8)&gt;0)*--((($I$3="全部")+(出货退货!$C$2:$C$500=$I$3))&gt;0)*--((($L$3="全部")+(出货退货!$D$2:$D$500=$L$3))&gt;0)*出货退货!$L$2:$L$500)</f>
        <v>#VALUE!</v>
      </c>
      <c r="J8" s="16" t="e">
        <f t="shared" si="1"/>
        <v>#VALUE!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ht="22" customHeight="1" spans="1:21">
      <c r="A9" s="8"/>
      <c r="B9" s="16" t="s">
        <v>77</v>
      </c>
      <c r="C9" s="17" t="e">
        <f>SUMPRODUCT((出货退货!$A$2:$A$500=$C$3)*--((出货退货!$B$2:$B$500=B9)&gt;0)*--((($I$3="全部")+(出货退货!$C$2:$C$500=$I$3))&gt;0)*--((($L$3="全部")+(出货退货!$D$2:$D$500=$L$3))&gt;0)*出货退货!$I$2:$I$500)</f>
        <v>#VALUE!</v>
      </c>
      <c r="D9" s="17" t="e">
        <f>SUMPRODUCT((出货退货!$A$2:$A$500=$C$3)*--((出货退货!$B$2:$B$500=B9)&gt;0)*--((($I$3="全部")+(出货退货!$C$2:$C$500=$I$3))&gt;0)*--((($L$3="全部")+(出货退货!$D$2:$D$500=$L$3))&gt;0)*出货退货!$J$2:$J$500)</f>
        <v>#VALUE!</v>
      </c>
      <c r="E9" s="17">
        <f>SUMPRODUCT((销售明细!$A$2:$A$500=$C$3)*--((销售明细!$B$2:$B$500=B9)&gt;0)*--((($I$3="全部")+(销售明细!$C$2:$C$500=$I$3))&gt;0)*--((($L$3="全部")+(销售明细!$D$2:$D$500=$L$3))&gt;0)*销售明细!$N$2:$N$500)</f>
        <v>1423</v>
      </c>
      <c r="F9" s="17">
        <f>SUMPRODUCT((销售明细!$A$2:$A$500=$C$3)*--((销售明细!$B$2:$B$500=B9)&gt;0)*--((($I$3="全部")+(销售明细!$C$2:$C$500=$I$3))&gt;0)*--((($L$3="全部")+(销售明细!$D$2:$D$500=$L$3))&gt;0)*销售明细!$O$2:$O$500)</f>
        <v>22870</v>
      </c>
      <c r="G9" s="18">
        <f t="shared" si="0"/>
        <v>0</v>
      </c>
      <c r="H9" s="17" t="e">
        <f>SUMPRODUCT((出货退货!$A$2:$A$500=$C$3)*--((出货退货!$B$2:$B$500=B9)&gt;0)*--((($I$3="全部")+(出货退货!$C$2:$C$500=$I$3))&gt;0)*--((($L$3="全部")+(出货退货!$D$2:$D$500=$L$3))&gt;0)*出货退货!$K$2:$K$500)</f>
        <v>#VALUE!</v>
      </c>
      <c r="I9" s="17" t="e">
        <f>SUMPRODUCT((出货退货!$A$2:$A$500=$C$3)*--((出货退货!$B$2:$B$500=B9)&gt;0)*--((($I$3="全部")+(出货退货!$C$2:$C$500=$I$3))&gt;0)*--((($L$3="全部")+(出货退货!$D$2:$D$500=$L$3))&gt;0)*出货退货!$L$2:$L$500)</f>
        <v>#VALUE!</v>
      </c>
      <c r="J9" s="16" t="e">
        <f t="shared" si="1"/>
        <v>#VALUE!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ht="22" customHeight="1" spans="1:21">
      <c r="A10" s="8"/>
      <c r="B10" s="16" t="s">
        <v>78</v>
      </c>
      <c r="C10" s="17" t="e">
        <f>SUMPRODUCT((出货退货!$A$2:$A$500=$C$3)*--((出货退货!$B$2:$B$500=B10)&gt;0)*--((($I$3="全部")+(出货退货!$C$2:$C$500=$I$3))&gt;0)*--((($L$3="全部")+(出货退货!$D$2:$D$500=$L$3))&gt;0)*出货退货!$I$2:$I$500)</f>
        <v>#VALUE!</v>
      </c>
      <c r="D10" s="17" t="e">
        <f>SUMPRODUCT((出货退货!$A$2:$A$500=$C$3)*--((出货退货!$B$2:$B$500=B10)&gt;0)*--((($I$3="全部")+(出货退货!$C$2:$C$500=$I$3))&gt;0)*--((($L$3="全部")+(出货退货!$D$2:$D$500=$L$3))&gt;0)*出货退货!$J$2:$J$500)</f>
        <v>#VALUE!</v>
      </c>
      <c r="E10" s="17">
        <f>SUMPRODUCT((销售明细!$A$2:$A$500=$C$3)*--((销售明细!$B$2:$B$500=B10)&gt;0)*--((($I$3="全部")+(销售明细!$C$2:$C$500=$I$3))&gt;0)*--((($L$3="全部")+(销售明细!$D$2:$D$500=$L$3))&gt;0)*销售明细!$N$2:$N$500)</f>
        <v>1423</v>
      </c>
      <c r="F10" s="17">
        <f>SUMPRODUCT((销售明细!$A$2:$A$500=$C$3)*--((销售明细!$B$2:$B$500=B10)&gt;0)*--((($I$3="全部")+(销售明细!$C$2:$C$500=$I$3))&gt;0)*--((($L$3="全部")+(销售明细!$D$2:$D$500=$L$3))&gt;0)*销售明细!$O$2:$O$500)</f>
        <v>22870</v>
      </c>
      <c r="G10" s="18">
        <f t="shared" si="0"/>
        <v>0</v>
      </c>
      <c r="H10" s="17" t="e">
        <f>SUMPRODUCT((出货退货!$A$2:$A$500=$C$3)*--((出货退货!$B$2:$B$500=B10)&gt;0)*--((($I$3="全部")+(出货退货!$C$2:$C$500=$I$3))&gt;0)*--((($L$3="全部")+(出货退货!$D$2:$D$500=$L$3))&gt;0)*出货退货!$K$2:$K$500)</f>
        <v>#VALUE!</v>
      </c>
      <c r="I10" s="17" t="e">
        <f>SUMPRODUCT((出货退货!$A$2:$A$500=$C$3)*--((出货退货!$B$2:$B$500=B10)&gt;0)*--((($I$3="全部")+(出货退货!$C$2:$C$500=$I$3))&gt;0)*--((($L$3="全部")+(出货退货!$D$2:$D$500=$L$3))&gt;0)*出货退货!$L$2:$L$500)</f>
        <v>#VALUE!</v>
      </c>
      <c r="J10" s="16" t="e">
        <f t="shared" si="1"/>
        <v>#VALUE!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ht="22" customHeight="1" spans="1:21">
      <c r="A11" s="8"/>
      <c r="B11" s="16" t="s">
        <v>79</v>
      </c>
      <c r="C11" s="17" t="e">
        <f>SUMPRODUCT((出货退货!$A$2:$A$500=$C$3)*--((出货退货!$B$2:$B$500=B11)&gt;0)*--((($I$3="全部")+(出货退货!$C$2:$C$500=$I$3))&gt;0)*--((($L$3="全部")+(出货退货!$D$2:$D$500=$L$3))&gt;0)*出货退货!$I$2:$I$500)</f>
        <v>#VALUE!</v>
      </c>
      <c r="D11" s="17" t="e">
        <f>SUMPRODUCT((出货退货!$A$2:$A$500=$C$3)*--((出货退货!$B$2:$B$500=B11)&gt;0)*--((($I$3="全部")+(出货退货!$C$2:$C$500=$I$3))&gt;0)*--((($L$3="全部")+(出货退货!$D$2:$D$500=$L$3))&gt;0)*出货退货!$J$2:$J$500)</f>
        <v>#VALUE!</v>
      </c>
      <c r="E11" s="17">
        <f>SUMPRODUCT((销售明细!$A$2:$A$500=$C$3)*--((销售明细!$B$2:$B$500=B11)&gt;0)*--((($I$3="全部")+(销售明细!$C$2:$C$500=$I$3))&gt;0)*--((($L$3="全部")+(销售明细!$D$2:$D$500=$L$3))&gt;0)*销售明细!$N$2:$N$500)</f>
        <v>1423</v>
      </c>
      <c r="F11" s="17">
        <f>SUMPRODUCT((销售明细!$A$2:$A$500=$C$3)*--((销售明细!$B$2:$B$500=B11)&gt;0)*--((($I$3="全部")+(销售明细!$C$2:$C$500=$I$3))&gt;0)*--((($L$3="全部")+(销售明细!$D$2:$D$500=$L$3))&gt;0)*销售明细!$O$2:$O$500)</f>
        <v>22870</v>
      </c>
      <c r="G11" s="18">
        <f t="shared" si="0"/>
        <v>0</v>
      </c>
      <c r="H11" s="17" t="e">
        <f>SUMPRODUCT((出货退货!$A$2:$A$500=$C$3)*--((出货退货!$B$2:$B$500=B11)&gt;0)*--((($I$3="全部")+(出货退货!$C$2:$C$500=$I$3))&gt;0)*--((($L$3="全部")+(出货退货!$D$2:$D$500=$L$3))&gt;0)*出货退货!$K$2:$K$500)</f>
        <v>#VALUE!</v>
      </c>
      <c r="I11" s="17" t="e">
        <f>SUMPRODUCT((出货退货!$A$2:$A$500=$C$3)*--((出货退货!$B$2:$B$500=B11)&gt;0)*--((($I$3="全部")+(出货退货!$C$2:$C$500=$I$3))&gt;0)*--((($L$3="全部")+(出货退货!$D$2:$D$500=$L$3))&gt;0)*出货退货!$L$2:$L$500)</f>
        <v>#VALUE!</v>
      </c>
      <c r="J11" s="16" t="e">
        <f t="shared" si="1"/>
        <v>#VALUE!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ht="22" customHeight="1" spans="1:21">
      <c r="A12" s="8"/>
      <c r="B12" s="16" t="s">
        <v>80</v>
      </c>
      <c r="C12" s="17" t="e">
        <f>SUMPRODUCT((出货退货!$A$2:$A$500=$C$3)*--((出货退货!$B$2:$B$500=B12)&gt;0)*--((($I$3="全部")+(出货退货!$C$2:$C$500=$I$3))&gt;0)*--((($L$3="全部")+(出货退货!$D$2:$D$500=$L$3))&gt;0)*出货退货!$I$2:$I$500)</f>
        <v>#VALUE!</v>
      </c>
      <c r="D12" s="17" t="e">
        <f>SUMPRODUCT((出货退货!$A$2:$A$500=$C$3)*--((出货退货!$B$2:$B$500=B12)&gt;0)*--((($I$3="全部")+(出货退货!$C$2:$C$500=$I$3))&gt;0)*--((($L$3="全部")+(出货退货!$D$2:$D$500=$L$3))&gt;0)*出货退货!$J$2:$J$500)</f>
        <v>#VALUE!</v>
      </c>
      <c r="E12" s="17">
        <f>SUMPRODUCT((销售明细!$A$2:$A$500=$C$3)*--((销售明细!$B$2:$B$500=B12)&gt;0)*--((($I$3="全部")+(销售明细!$C$2:$C$500=$I$3))&gt;0)*--((($L$3="全部")+(销售明细!$D$2:$D$500=$L$3))&gt;0)*销售明细!$N$2:$N$500)</f>
        <v>1423</v>
      </c>
      <c r="F12" s="17">
        <f>SUMPRODUCT((销售明细!$A$2:$A$500=$C$3)*--((销售明细!$B$2:$B$500=B12)&gt;0)*--((($I$3="全部")+(销售明细!$C$2:$C$500=$I$3))&gt;0)*--((($L$3="全部")+(销售明细!$D$2:$D$500=$L$3))&gt;0)*销售明细!$O$2:$O$500)</f>
        <v>22870</v>
      </c>
      <c r="G12" s="18">
        <f t="shared" si="0"/>
        <v>0</v>
      </c>
      <c r="H12" s="17" t="e">
        <f>SUMPRODUCT((出货退货!$A$2:$A$500=$C$3)*--((出货退货!$B$2:$B$500=B12)&gt;0)*--((($I$3="全部")+(出货退货!$C$2:$C$500=$I$3))&gt;0)*--((($L$3="全部")+(出货退货!$D$2:$D$500=$L$3))&gt;0)*出货退货!$K$2:$K$500)</f>
        <v>#VALUE!</v>
      </c>
      <c r="I12" s="17" t="e">
        <f>SUMPRODUCT((出货退货!$A$2:$A$500=$C$3)*--((出货退货!$B$2:$B$500=B12)&gt;0)*--((($I$3="全部")+(出货退货!$C$2:$C$500=$I$3))&gt;0)*--((($L$3="全部")+(出货退货!$D$2:$D$500=$L$3))&gt;0)*出货退货!$L$2:$L$500)</f>
        <v>#VALUE!</v>
      </c>
      <c r="J12" s="16" t="e">
        <f t="shared" si="1"/>
        <v>#VALUE!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ht="22" customHeight="1" spans="1:21">
      <c r="A13" s="8"/>
      <c r="B13" s="16" t="s">
        <v>81</v>
      </c>
      <c r="C13" s="17" t="e">
        <f>SUMPRODUCT((出货退货!$A$2:$A$500=$C$3)*--((出货退货!$B$2:$B$500=B13)&gt;0)*--((($I$3="全部")+(出货退货!$C$2:$C$500=$I$3))&gt;0)*--((($L$3="全部")+(出货退货!$D$2:$D$500=$L$3))&gt;0)*出货退货!$I$2:$I$500)</f>
        <v>#VALUE!</v>
      </c>
      <c r="D13" s="17" t="e">
        <f>SUMPRODUCT((出货退货!$A$2:$A$500=$C$3)*--((出货退货!$B$2:$B$500=B13)&gt;0)*--((($I$3="全部")+(出货退货!$C$2:$C$500=$I$3))&gt;0)*--((($L$3="全部")+(出货退货!$D$2:$D$500=$L$3))&gt;0)*出货退货!$J$2:$J$500)</f>
        <v>#VALUE!</v>
      </c>
      <c r="E13" s="17">
        <f>SUMPRODUCT((销售明细!$A$2:$A$500=$C$3)*--((销售明细!$B$2:$B$500=B13)&gt;0)*--((($I$3="全部")+(销售明细!$C$2:$C$500=$I$3))&gt;0)*--((($L$3="全部")+(销售明细!$D$2:$D$500=$L$3))&gt;0)*销售明细!$N$2:$N$500)</f>
        <v>1423</v>
      </c>
      <c r="F13" s="17">
        <f>SUMPRODUCT((销售明细!$A$2:$A$500=$C$3)*--((销售明细!$B$2:$B$500=B13)&gt;0)*--((($I$3="全部")+(销售明细!$C$2:$C$500=$I$3))&gt;0)*--((($L$3="全部")+(销售明细!$D$2:$D$500=$L$3))&gt;0)*销售明细!$O$2:$O$500)</f>
        <v>22870</v>
      </c>
      <c r="G13" s="18">
        <f t="shared" si="0"/>
        <v>0</v>
      </c>
      <c r="H13" s="17" t="e">
        <f>SUMPRODUCT((出货退货!$A$2:$A$500=$C$3)*--((出货退货!$B$2:$B$500=B13)&gt;0)*--((($I$3="全部")+(出货退货!$C$2:$C$500=$I$3))&gt;0)*--((($L$3="全部")+(出货退货!$D$2:$D$500=$L$3))&gt;0)*出货退货!$K$2:$K$500)</f>
        <v>#VALUE!</v>
      </c>
      <c r="I13" s="17" t="e">
        <f>SUMPRODUCT((出货退货!$A$2:$A$500=$C$3)*--((出货退货!$B$2:$B$500=B13)&gt;0)*--((($I$3="全部")+(出货退货!$C$2:$C$500=$I$3))&gt;0)*--((($L$3="全部")+(出货退货!$D$2:$D$500=$L$3))&gt;0)*出货退货!$L$2:$L$500)</f>
        <v>#VALUE!</v>
      </c>
      <c r="J13" s="16" t="e">
        <f t="shared" si="1"/>
        <v>#VALUE!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ht="22" customHeight="1" spans="1:21">
      <c r="A14" s="8"/>
      <c r="B14" s="16" t="s">
        <v>82</v>
      </c>
      <c r="C14" s="17" t="e">
        <f>SUMPRODUCT((出货退货!$A$2:$A$500=$C$3)*--((出货退货!$B$2:$B$500=B14)&gt;0)*--((($I$3="全部")+(出货退货!$C$2:$C$500=$I$3))&gt;0)*--((($L$3="全部")+(出货退货!$D$2:$D$500=$L$3))&gt;0)*出货退货!$I$2:$I$500)</f>
        <v>#VALUE!</v>
      </c>
      <c r="D14" s="17" t="e">
        <f>SUMPRODUCT((出货退货!$A$2:$A$500=$C$3)*--((出货退货!$B$2:$B$500=B14)&gt;0)*--((($I$3="全部")+(出货退货!$C$2:$C$500=$I$3))&gt;0)*--((($L$3="全部")+(出货退货!$D$2:$D$500=$L$3))&gt;0)*出货退货!$J$2:$J$500)</f>
        <v>#VALUE!</v>
      </c>
      <c r="E14" s="17">
        <f>SUMPRODUCT((销售明细!$A$2:$A$500=$C$3)*--((销售明细!$B$2:$B$500=B14)&gt;0)*--((($I$3="全部")+(销售明细!$C$2:$C$500=$I$3))&gt;0)*--((($L$3="全部")+(销售明细!$D$2:$D$500=$L$3))&gt;0)*销售明细!$N$2:$N$500)</f>
        <v>1423</v>
      </c>
      <c r="F14" s="17">
        <f>SUMPRODUCT((销售明细!$A$2:$A$500=$C$3)*--((销售明细!$B$2:$B$500=B14)&gt;0)*--((($I$3="全部")+(销售明细!$C$2:$C$500=$I$3))&gt;0)*--((($L$3="全部")+(销售明细!$D$2:$D$500=$L$3))&gt;0)*销售明细!$O$2:$O$500)</f>
        <v>22870</v>
      </c>
      <c r="G14" s="18">
        <f t="shared" si="0"/>
        <v>0</v>
      </c>
      <c r="H14" s="17" t="e">
        <f>SUMPRODUCT((出货退货!$A$2:$A$500=$C$3)*--((出货退货!$B$2:$B$500=B14)&gt;0)*--((($I$3="全部")+(出货退货!$C$2:$C$500=$I$3))&gt;0)*--((($L$3="全部")+(出货退货!$D$2:$D$500=$L$3))&gt;0)*出货退货!$K$2:$K$500)</f>
        <v>#VALUE!</v>
      </c>
      <c r="I14" s="17" t="e">
        <f>SUMPRODUCT((出货退货!$A$2:$A$500=$C$3)*--((出货退货!$B$2:$B$500=B14)&gt;0)*--((($I$3="全部")+(出货退货!$C$2:$C$500=$I$3))&gt;0)*--((($L$3="全部")+(出货退货!$D$2:$D$500=$L$3))&gt;0)*出货退货!$L$2:$L$500)</f>
        <v>#VALUE!</v>
      </c>
      <c r="J14" s="16" t="e">
        <f t="shared" si="1"/>
        <v>#VALUE!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ht="22" customHeight="1" spans="1:2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ht="22" customHeight="1" spans="1:2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ht="22" customHeight="1" spans="1:21">
      <c r="A17" s="8"/>
      <c r="B17" s="12" t="s">
        <v>83</v>
      </c>
      <c r="C17" s="13"/>
      <c r="D17" s="13"/>
      <c r="E17" s="13"/>
      <c r="F17" s="13"/>
      <c r="G17" s="13"/>
      <c r="H17" s="13"/>
      <c r="I17" s="13"/>
      <c r="J17" s="14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ht="22" customHeight="1" spans="1:21">
      <c r="A18" s="8"/>
      <c r="B18" s="15" t="s">
        <v>84</v>
      </c>
      <c r="C18" s="15" t="s">
        <v>85</v>
      </c>
      <c r="D18" s="15" t="s">
        <v>3</v>
      </c>
      <c r="E18" s="15" t="s">
        <v>6</v>
      </c>
      <c r="F18" s="15" t="s">
        <v>7</v>
      </c>
      <c r="G18" s="15" t="s">
        <v>71</v>
      </c>
      <c r="H18" s="15" t="s">
        <v>8</v>
      </c>
      <c r="I18" s="15" t="s">
        <v>9</v>
      </c>
      <c r="J18" s="15" t="s">
        <v>86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ht="22" customHeight="1" spans="1:21">
      <c r="A19" s="8"/>
      <c r="B19" s="16" t="s">
        <v>87</v>
      </c>
      <c r="C19" s="16" t="s">
        <v>88</v>
      </c>
      <c r="D19" s="16" t="s">
        <v>75</v>
      </c>
      <c r="E19" s="17" t="e">
        <f>SUMPRODUCT((出货退货!$A$2:$A$500=$C$3)*--((($F$3="全部")+(出货退货!$B$2:$B$500=$F$3))&gt;0)*--((($I$3="全部")+(出货退货!$C$2:$C$500=$I$3))&gt;0)*--((($L$3="全部")+(出货退货!$D$2:$D$500=$L$3))&gt;0)*--((出货退货!$G$2:$G$500=B19)&gt;0)*出货退货!$I$2:$I$500)</f>
        <v>#VALUE!</v>
      </c>
      <c r="F19" s="17" t="e">
        <f>SUMPRODUCT((出货退货!$A$2:$A$500=$C$3)*--((($F$3="全部")+(出货退货!$B$2:$B$500=$F$3))&gt;0)*--((($I$3="全部")+(出货退货!$C$2:$C$500=$I$3))&gt;0)*--((($L$3="全部")+(出货退货!$D$2:$D$500=$L$3))&gt;0)*--((出货退货!$G$2:$G$500=B19)&gt;0)*出货退货!$J$2:$J$500)</f>
        <v>#VALUE!</v>
      </c>
      <c r="G19" s="17">
        <f>SUMPRODUCT((销售明细!$A$2:$A$500=$C$3)*--((($F$3="全部")+(销售明细!$B$2:$B$500=$F$3))&gt;0)*--((($I$3="全部")+(销售明细!$C$2:$C$500=$I$3))&gt;0)*--((($L$3="全部")+(销售明细!$D$2:$D$500=$L$3))&gt;0)*--((销售明细!$H$2:$H$500=B19)&gt;0)*销售明细!$N$2:$N$500)</f>
        <v>1423</v>
      </c>
      <c r="H19" s="17">
        <f>SUMPRODUCT((销售明细!$A$2:$A$500=$C$3)*--((($F$3="全部")+(销售明细!$B$2:$B$500=$F$3))&gt;0)*--((($I$3="全部")+(销售明细!$C$2:$C$500=$I$3))&gt;0)*--((($L$3="全部")+(销售明细!$D$2:$D$500=$L$3))&gt;0)*--((销售明细!$H$2:$H$500=B19)&gt;0)*销售明细!$O$2:$O$500)</f>
        <v>22870</v>
      </c>
      <c r="I19" s="18">
        <f t="shared" ref="I19:I24" si="2">IFERROR(F19/H19,0)</f>
        <v>0</v>
      </c>
      <c r="J19" s="16" t="e">
        <f t="shared" ref="J19:J24" si="3">IF(F19=0,"缺出货源","")</f>
        <v>#VALUE!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ht="22" customHeight="1" spans="1:21">
      <c r="A20" s="8"/>
      <c r="B20" s="16" t="s">
        <v>89</v>
      </c>
      <c r="C20" s="16" t="s">
        <v>90</v>
      </c>
      <c r="D20" s="16" t="s">
        <v>75</v>
      </c>
      <c r="E20" s="17" t="e">
        <f>SUMPRODUCT((出货退货!$A$2:$A$500=$C$3)*--((($F$3="全部")+(出货退货!$B$2:$B$500=$F$3))&gt;0)*--((($I$3="全部")+(出货退货!$C$2:$C$500=$I$3))&gt;0)*--((($L$3="全部")+(出货退货!$D$2:$D$500=$L$3))&gt;0)*--((出货退货!$G$2:$G$500=B20)&gt;0)*出货退货!$I$2:$I$500)</f>
        <v>#VALUE!</v>
      </c>
      <c r="F20" s="17" t="e">
        <f>SUMPRODUCT((出货退货!$A$2:$A$500=$C$3)*--((($F$3="全部")+(出货退货!$B$2:$B$500=$F$3))&gt;0)*--((($I$3="全部")+(出货退货!$C$2:$C$500=$I$3))&gt;0)*--((($L$3="全部")+(出货退货!$D$2:$D$500=$L$3))&gt;0)*--((出货退货!$G$2:$G$500=B20)&gt;0)*出货退货!$J$2:$J$500)</f>
        <v>#VALUE!</v>
      </c>
      <c r="G20" s="17">
        <f>SUMPRODUCT((销售明细!$A$2:$A$500=$C$3)*--((($F$3="全部")+(销售明细!$B$2:$B$500=$F$3))&gt;0)*--((($I$3="全部")+(销售明细!$C$2:$C$500=$I$3))&gt;0)*--((($L$3="全部")+(销售明细!$D$2:$D$500=$L$3))&gt;0)*--((销售明细!$H$2:$H$500=B20)&gt;0)*销售明细!$N$2:$N$500)</f>
        <v>1423</v>
      </c>
      <c r="H20" s="17">
        <f>SUMPRODUCT((销售明细!$A$2:$A$500=$C$3)*--((($F$3="全部")+(销售明细!$B$2:$B$500=$F$3))&gt;0)*--((($I$3="全部")+(销售明细!$C$2:$C$500=$I$3))&gt;0)*--((($L$3="全部")+(销售明细!$D$2:$D$500=$L$3))&gt;0)*--((销售明细!$H$2:$H$500=B20)&gt;0)*销售明细!$O$2:$O$500)</f>
        <v>22870</v>
      </c>
      <c r="I20" s="18">
        <f t="shared" si="2"/>
        <v>0</v>
      </c>
      <c r="J20" s="16" t="e">
        <f t="shared" si="3"/>
        <v>#VALUE!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ht="22" customHeight="1" spans="1:21">
      <c r="A21" s="8"/>
      <c r="B21" s="16" t="s">
        <v>91</v>
      </c>
      <c r="C21" s="16" t="s">
        <v>92</v>
      </c>
      <c r="D21" s="16" t="s">
        <v>78</v>
      </c>
      <c r="E21" s="17" t="e">
        <f>SUMPRODUCT((出货退货!$A$2:$A$500=$C$3)*--((($F$3="全部")+(出货退货!$B$2:$B$500=$F$3))&gt;0)*--((($I$3="全部")+(出货退货!$C$2:$C$500=$I$3))&gt;0)*--((($L$3="全部")+(出货退货!$D$2:$D$500=$L$3))&gt;0)*--((出货退货!$G$2:$G$500=B21)&gt;0)*出货退货!$I$2:$I$500)</f>
        <v>#VALUE!</v>
      </c>
      <c r="F21" s="17" t="e">
        <f>SUMPRODUCT((出货退货!$A$2:$A$500=$C$3)*--((($F$3="全部")+(出货退货!$B$2:$B$500=$F$3))&gt;0)*--((($I$3="全部")+(出货退货!$C$2:$C$500=$I$3))&gt;0)*--((($L$3="全部")+(出货退货!$D$2:$D$500=$L$3))&gt;0)*--((出货退货!$G$2:$G$500=B21)&gt;0)*出货退货!$J$2:$J$500)</f>
        <v>#VALUE!</v>
      </c>
      <c r="G21" s="17">
        <f>SUMPRODUCT((销售明细!$A$2:$A$500=$C$3)*--((($F$3="全部")+(销售明细!$B$2:$B$500=$F$3))&gt;0)*--((($I$3="全部")+(销售明细!$C$2:$C$500=$I$3))&gt;0)*--((($L$3="全部")+(销售明细!$D$2:$D$500=$L$3))&gt;0)*--((销售明细!$H$2:$H$500=B21)&gt;0)*销售明细!$N$2:$N$500)</f>
        <v>1423</v>
      </c>
      <c r="H21" s="17">
        <f>SUMPRODUCT((销售明细!$A$2:$A$500=$C$3)*--((($F$3="全部")+(销售明细!$B$2:$B$500=$F$3))&gt;0)*--((($I$3="全部")+(销售明细!$C$2:$C$500=$I$3))&gt;0)*--((($L$3="全部")+(销售明细!$D$2:$D$500=$L$3))&gt;0)*--((销售明细!$H$2:$H$500=B21)&gt;0)*销售明细!$O$2:$O$500)</f>
        <v>22870</v>
      </c>
      <c r="I21" s="18">
        <f t="shared" si="2"/>
        <v>0</v>
      </c>
      <c r="J21" s="16" t="e">
        <f t="shared" si="3"/>
        <v>#VALUE!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ht="22" customHeight="1" spans="1:21">
      <c r="A22" s="8"/>
      <c r="B22" s="16" t="s">
        <v>93</v>
      </c>
      <c r="C22" s="16" t="s">
        <v>94</v>
      </c>
      <c r="D22" s="16" t="s">
        <v>76</v>
      </c>
      <c r="E22" s="17" t="e">
        <f>SUMPRODUCT((出货退货!$A$2:$A$500=$C$3)*--((($F$3="全部")+(出货退货!$B$2:$B$500=$F$3))&gt;0)*--((($I$3="全部")+(出货退货!$C$2:$C$500=$I$3))&gt;0)*--((($L$3="全部")+(出货退货!$D$2:$D$500=$L$3))&gt;0)*--((出货退货!$G$2:$G$500=B22)&gt;0)*出货退货!$I$2:$I$500)</f>
        <v>#VALUE!</v>
      </c>
      <c r="F22" s="17" t="e">
        <f>SUMPRODUCT((出货退货!$A$2:$A$500=$C$3)*--((($F$3="全部")+(出货退货!$B$2:$B$500=$F$3))&gt;0)*--((($I$3="全部")+(出货退货!$C$2:$C$500=$I$3))&gt;0)*--((($L$3="全部")+(出货退货!$D$2:$D$500=$L$3))&gt;0)*--((出货退货!$G$2:$G$500=B22)&gt;0)*出货退货!$J$2:$J$500)</f>
        <v>#VALUE!</v>
      </c>
      <c r="G22" s="17">
        <f>SUMPRODUCT((销售明细!$A$2:$A$500=$C$3)*--((($F$3="全部")+(销售明细!$B$2:$B$500=$F$3))&gt;0)*--((($I$3="全部")+(销售明细!$C$2:$C$500=$I$3))&gt;0)*--((($L$3="全部")+(销售明细!$D$2:$D$500=$L$3))&gt;0)*--((销售明细!$H$2:$H$500=B22)&gt;0)*销售明细!$N$2:$N$500)</f>
        <v>1423</v>
      </c>
      <c r="H22" s="17">
        <f>SUMPRODUCT((销售明细!$A$2:$A$500=$C$3)*--((($F$3="全部")+(销售明细!$B$2:$B$500=$F$3))&gt;0)*--((($I$3="全部")+(销售明细!$C$2:$C$500=$I$3))&gt;0)*--((($L$3="全部")+(销售明细!$D$2:$D$500=$L$3))&gt;0)*--((销售明细!$H$2:$H$500=B22)&gt;0)*销售明细!$O$2:$O$500)</f>
        <v>22870</v>
      </c>
      <c r="I22" s="18">
        <f t="shared" si="2"/>
        <v>0</v>
      </c>
      <c r="J22" s="16" t="e">
        <f t="shared" si="3"/>
        <v>#VALUE!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ht="22" customHeight="1" spans="1:21">
      <c r="A23" s="8"/>
      <c r="B23" s="16" t="s">
        <v>95</v>
      </c>
      <c r="C23" s="16" t="s">
        <v>96</v>
      </c>
      <c r="D23" s="16" t="s">
        <v>80</v>
      </c>
      <c r="E23" s="17" t="e">
        <f>SUMPRODUCT((出货退货!$A$2:$A$500=$C$3)*--((($F$3="全部")+(出货退货!$B$2:$B$500=$F$3))&gt;0)*--((($I$3="全部")+(出货退货!$C$2:$C$500=$I$3))&gt;0)*--((($L$3="全部")+(出货退货!$D$2:$D$500=$L$3))&gt;0)*--((出货退货!$G$2:$G$500=B23)&gt;0)*出货退货!$I$2:$I$500)</f>
        <v>#VALUE!</v>
      </c>
      <c r="F23" s="17" t="e">
        <f>SUMPRODUCT((出货退货!$A$2:$A$500=$C$3)*--((($F$3="全部")+(出货退货!$B$2:$B$500=$F$3))&gt;0)*--((($I$3="全部")+(出货退货!$C$2:$C$500=$I$3))&gt;0)*--((($L$3="全部")+(出货退货!$D$2:$D$500=$L$3))&gt;0)*--((出货退货!$G$2:$G$500=B23)&gt;0)*出货退货!$J$2:$J$500)</f>
        <v>#VALUE!</v>
      </c>
      <c r="G23" s="17">
        <f>SUMPRODUCT((销售明细!$A$2:$A$500=$C$3)*--((($F$3="全部")+(销售明细!$B$2:$B$500=$F$3))&gt;0)*--((($I$3="全部")+(销售明细!$C$2:$C$500=$I$3))&gt;0)*--((($L$3="全部")+(销售明细!$D$2:$D$500=$L$3))&gt;0)*--((销售明细!$H$2:$H$500=B23)&gt;0)*销售明细!$N$2:$N$500)</f>
        <v>1423</v>
      </c>
      <c r="H23" s="17">
        <f>SUMPRODUCT((销售明细!$A$2:$A$500=$C$3)*--((($F$3="全部")+(销售明细!$B$2:$B$500=$F$3))&gt;0)*--((($I$3="全部")+(销售明细!$C$2:$C$500=$I$3))&gt;0)*--((($L$3="全部")+(销售明细!$D$2:$D$500=$L$3))&gt;0)*--((销售明细!$H$2:$H$500=B23)&gt;0)*销售明细!$O$2:$O$500)</f>
        <v>22870</v>
      </c>
      <c r="I23" s="18">
        <f t="shared" si="2"/>
        <v>0</v>
      </c>
      <c r="J23" s="16" t="e">
        <f t="shared" si="3"/>
        <v>#VALUE!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ht="22" customHeight="1" spans="1:21">
      <c r="A24" s="8"/>
      <c r="B24" s="16" t="s">
        <v>97</v>
      </c>
      <c r="C24" s="16" t="s">
        <v>98</v>
      </c>
      <c r="D24" s="16" t="s">
        <v>82</v>
      </c>
      <c r="E24" s="17" t="e">
        <f>SUMPRODUCT((出货退货!$A$2:$A$500=$C$3)*--((($F$3="全部")+(出货退货!$B$2:$B$500=$F$3))&gt;0)*--((($I$3="全部")+(出货退货!$C$2:$C$500=$I$3))&gt;0)*--((($L$3="全部")+(出货退货!$D$2:$D$500=$L$3))&gt;0)*--((出货退货!$G$2:$G$500=B24)&gt;0)*出货退货!$I$2:$I$500)</f>
        <v>#VALUE!</v>
      </c>
      <c r="F24" s="17" t="e">
        <f>SUMPRODUCT((出货退货!$A$2:$A$500=$C$3)*--((($F$3="全部")+(出货退货!$B$2:$B$500=$F$3))&gt;0)*--((($I$3="全部")+(出货退货!$C$2:$C$500=$I$3))&gt;0)*--((($L$3="全部")+(出货退货!$D$2:$D$500=$L$3))&gt;0)*--((出货退货!$G$2:$G$500=B24)&gt;0)*出货退货!$J$2:$J$500)</f>
        <v>#VALUE!</v>
      </c>
      <c r="G24" s="17">
        <f>SUMPRODUCT((销售明细!$A$2:$A$500=$C$3)*--((($F$3="全部")+(销售明细!$B$2:$B$500=$F$3))&gt;0)*--((($I$3="全部")+(销售明细!$C$2:$C$500=$I$3))&gt;0)*--((($L$3="全部")+(销售明细!$D$2:$D$500=$L$3))&gt;0)*--((销售明细!$H$2:$H$500=B24)&gt;0)*销售明细!$N$2:$N$500)</f>
        <v>1423</v>
      </c>
      <c r="H24" s="17">
        <f>SUMPRODUCT((销售明细!$A$2:$A$500=$C$3)*--((($F$3="全部")+(销售明细!$B$2:$B$500=$F$3))&gt;0)*--((($I$3="全部")+(销售明细!$C$2:$C$500=$I$3))&gt;0)*--((($L$3="全部")+(销售明细!$D$2:$D$500=$L$3))&gt;0)*--((销售明细!$H$2:$H$500=B24)&gt;0)*销售明细!$O$2:$O$500)</f>
        <v>22870</v>
      </c>
      <c r="I24" s="18">
        <f t="shared" si="2"/>
        <v>0</v>
      </c>
      <c r="J24" s="16" t="e">
        <f t="shared" si="3"/>
        <v>#VALUE!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ht="22" customHeight="1" spans="1:2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ht="22" customHeight="1" spans="1:2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ht="22" customHeight="1" spans="1:21">
      <c r="A27" s="8"/>
      <c r="B27" s="12" t="s">
        <v>99</v>
      </c>
      <c r="C27" s="13"/>
      <c r="D27" s="13"/>
      <c r="E27" s="13"/>
      <c r="F27" s="13"/>
      <c r="G27" s="13"/>
      <c r="H27" s="13"/>
      <c r="I27" s="13"/>
      <c r="J27" s="14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ht="22" customHeight="1" spans="1:21">
      <c r="A28" s="8"/>
      <c r="B28" s="15" t="s">
        <v>100</v>
      </c>
      <c r="C28" s="15" t="s">
        <v>71</v>
      </c>
      <c r="D28" s="15" t="s">
        <v>8</v>
      </c>
      <c r="E28" s="15" t="s">
        <v>6</v>
      </c>
      <c r="F28" s="15" t="s">
        <v>7</v>
      </c>
      <c r="G28" s="15" t="s">
        <v>9</v>
      </c>
      <c r="H28" s="15" t="s">
        <v>56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ht="22" customHeight="1" spans="1:21">
      <c r="A29" s="8"/>
      <c r="B29" s="16" t="s">
        <v>101</v>
      </c>
      <c r="C29" s="17">
        <f>SUMPRODUCT((销售明细!$A$2:$A$500=$C$3)*--((($F$3="全部")+(销售明细!$B$2:$B$500=$F$3))&gt;0)*--((($I$3="全部")+(销售明细!$C$2:$C$500=$I$3))&gt;0)*--((($L$3="全部")+(销售明细!$D$2:$D$500=$L$3))&gt;0)*--((销售明细!$M$2:$M$500=B29)&gt;0)*销售明细!$N$2:$N$500)</f>
        <v>1423</v>
      </c>
      <c r="D29" s="17">
        <f>SUMPRODUCT((销售明细!$A$2:$A$500=$C$3)*--((($F$3="全部")+(销售明细!$B$2:$B$500=$F$3))&gt;0)*--((($I$3="全部")+(销售明细!$C$2:$C$500=$I$3))&gt;0)*--((($L$3="全部")+(销售明细!$D$2:$D$500=$L$3))&gt;0)*--((销售明细!$M$2:$M$500=B29)&gt;0)*销售明细!$O$2:$O$500)</f>
        <v>22870</v>
      </c>
      <c r="E29" s="17" t="e">
        <f>SUMPRODUCT((出货退货!$A$2:$A$500=$C$3)*--((($F$3="全部")+(出货退货!$B$2:$B$500=$F$3))&gt;0)*--((($I$3="全部")+(出货退货!$C$2:$C$500=$I$3))&gt;0)*--((($L$3="全部")+(出货退货!$D$2:$D$500=$L$3))&gt;0)*出货退货!$I$2:$I$500)</f>
        <v>#VALUE!</v>
      </c>
      <c r="F29" s="17" t="e">
        <f>SUMPRODUCT((出货退货!$A$2:$A$500=$C$3)*--((($F$3="全部")+(出货退货!$B$2:$B$500=$F$3))&gt;0)*--((($I$3="全部")+(出货退货!$C$2:$C$500=$I$3))&gt;0)*--((($L$3="全部")+(出货退货!$D$2:$D$500=$L$3))&gt;0)*出货退货!$J$2:$J$500)</f>
        <v>#VALUE!</v>
      </c>
      <c r="G29" s="18">
        <f>IFERROR(F29/D29,0)</f>
        <v>0</v>
      </c>
      <c r="H29" s="16" t="s">
        <v>102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ht="22" customHeight="1" spans="1:21">
      <c r="A30" s="8"/>
      <c r="B30" s="16" t="s">
        <v>103</v>
      </c>
      <c r="C30" s="17">
        <f>SUMPRODUCT((销售明细!$A$2:$A$500=$C$3)*--((($F$3="全部")+(销售明细!$B$2:$B$500=$F$3))&gt;0)*--((($I$3="全部")+(销售明细!$C$2:$C$500=$I$3))&gt;0)*--((($L$3="全部")+(销售明细!$D$2:$D$500=$L$3))&gt;0)*--((销售明细!$M$2:$M$500=B30)&gt;0)*销售明细!$N$2:$N$500)</f>
        <v>1423</v>
      </c>
      <c r="D30" s="17">
        <f>SUMPRODUCT((销售明细!$A$2:$A$500=$C$3)*--((($F$3="全部")+(销售明细!$B$2:$B$500=$F$3))&gt;0)*--((($I$3="全部")+(销售明细!$C$2:$C$500=$I$3))&gt;0)*--((($L$3="全部")+(销售明细!$D$2:$D$500=$L$3))&gt;0)*--((销售明细!$M$2:$M$500=B30)&gt;0)*销售明细!$O$2:$O$500)</f>
        <v>22870</v>
      </c>
      <c r="E30" s="17" t="e">
        <f>SUMPRODUCT((出货退货!$A$2:$A$500=$C$3)*--((($F$3="全部")+(出货退货!$B$2:$B$500=$F$3))&gt;0)*--((($I$3="全部")+(出货退货!$C$2:$C$500=$I$3))&gt;0)*--((($L$3="全部")+(出货退货!$D$2:$D$500=$L$3))&gt;0)*出货退货!$I$2:$I$500)</f>
        <v>#VALUE!</v>
      </c>
      <c r="F30" s="17" t="e">
        <f>SUMPRODUCT((出货退货!$A$2:$A$500=$C$3)*--((($F$3="全部")+(出货退货!$B$2:$B$500=$F$3))&gt;0)*--((($I$3="全部")+(出货退货!$C$2:$C$500=$I$3))&gt;0)*--((($L$3="全部")+(出货退货!$D$2:$D$500=$L$3))&gt;0)*出货退货!$J$2:$J$500)</f>
        <v>#VALUE!</v>
      </c>
      <c r="G30" s="18">
        <f>IFERROR(F30/D30,0)</f>
        <v>0</v>
      </c>
      <c r="H30" s="16" t="s">
        <v>102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ht="22" customHeight="1" spans="1:21">
      <c r="A31" s="8"/>
      <c r="B31" s="16" t="s">
        <v>104</v>
      </c>
      <c r="C31" s="17">
        <f>SUMPRODUCT((销售明细!$A$2:$A$500=$C$3)*--((($F$3="全部")+(销售明细!$B$2:$B$500=$F$3))&gt;0)*--((($I$3="全部")+(销售明细!$C$2:$C$500=$I$3))&gt;0)*--((($L$3="全部")+(销售明细!$D$2:$D$500=$L$3))&gt;0)*--((销售明细!$M$2:$M$500=B31)&gt;0)*销售明细!$N$2:$N$500)</f>
        <v>1423</v>
      </c>
      <c r="D31" s="17">
        <f>SUMPRODUCT((销售明细!$A$2:$A$500=$C$3)*--((($F$3="全部")+(销售明细!$B$2:$B$500=$F$3))&gt;0)*--((($I$3="全部")+(销售明细!$C$2:$C$500=$I$3))&gt;0)*--((($L$3="全部")+(销售明细!$D$2:$D$500=$L$3))&gt;0)*--((销售明细!$M$2:$M$500=B31)&gt;0)*销售明细!$O$2:$O$500)</f>
        <v>22870</v>
      </c>
      <c r="E31" s="17" t="e">
        <f>SUMPRODUCT((出货退货!$A$2:$A$500=$C$3)*--((($F$3="全部")+(出货退货!$B$2:$B$500=$F$3))&gt;0)*--((($I$3="全部")+(出货退货!$C$2:$C$500=$I$3))&gt;0)*--((($L$3="全部")+(出货退货!$D$2:$D$500=$L$3))&gt;0)*出货退货!$I$2:$I$500)</f>
        <v>#VALUE!</v>
      </c>
      <c r="F31" s="17" t="e">
        <f>SUMPRODUCT((出货退货!$A$2:$A$500=$C$3)*--((($F$3="全部")+(出货退货!$B$2:$B$500=$F$3))&gt;0)*--((($I$3="全部")+(出货退货!$C$2:$C$500=$I$3))&gt;0)*--((($L$3="全部")+(出货退货!$D$2:$D$500=$L$3))&gt;0)*出货退货!$J$2:$J$500)</f>
        <v>#VALUE!</v>
      </c>
      <c r="G31" s="18">
        <f>IFERROR(F31/D31,0)</f>
        <v>0</v>
      </c>
      <c r="H31" s="16" t="s">
        <v>102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ht="22" customHeight="1" spans="1:21">
      <c r="A32" s="8"/>
      <c r="B32" s="16" t="s">
        <v>105</v>
      </c>
      <c r="C32" s="17">
        <f>SUMPRODUCT((销售明细!$A$2:$A$500=$C$3)*--((($F$3="全部")+(销售明细!$B$2:$B$500=$F$3))&gt;0)*--((($I$3="全部")+(销售明细!$C$2:$C$500=$I$3))&gt;0)*--((($L$3="全部")+(销售明细!$D$2:$D$500=$L$3))&gt;0)*--((销售明细!$M$2:$M$500=B32)&gt;0)*销售明细!$N$2:$N$500)</f>
        <v>1423</v>
      </c>
      <c r="D32" s="17">
        <f>SUMPRODUCT((销售明细!$A$2:$A$500=$C$3)*--((($F$3="全部")+(销售明细!$B$2:$B$500=$F$3))&gt;0)*--((($I$3="全部")+(销售明细!$C$2:$C$500=$I$3))&gt;0)*--((($L$3="全部")+(销售明细!$D$2:$D$500=$L$3))&gt;0)*--((销售明细!$M$2:$M$500=B32)&gt;0)*销售明细!$O$2:$O$500)</f>
        <v>22870</v>
      </c>
      <c r="E32" s="17" t="e">
        <f>SUMPRODUCT((出货退货!$A$2:$A$500=$C$3)*--((($F$3="全部")+(出货退货!$B$2:$B$500=$F$3))&gt;0)*--((($I$3="全部")+(出货退货!$C$2:$C$500=$I$3))&gt;0)*--((($L$3="全部")+(出货退货!$D$2:$D$500=$L$3))&gt;0)*出货退货!$I$2:$I$500)</f>
        <v>#VALUE!</v>
      </c>
      <c r="F32" s="17" t="e">
        <f>SUMPRODUCT((出货退货!$A$2:$A$500=$C$3)*--((($F$3="全部")+(出货退货!$B$2:$B$500=$F$3))&gt;0)*--((($I$3="全部")+(出货退货!$C$2:$C$500=$I$3))&gt;0)*--((($L$3="全部")+(出货退货!$D$2:$D$500=$L$3))&gt;0)*出货退货!$J$2:$J$500)</f>
        <v>#VALUE!</v>
      </c>
      <c r="G32" s="18">
        <f>IFERROR(F32/D32,0)</f>
        <v>0</v>
      </c>
      <c r="H32" s="16" t="s">
        <v>102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ht="22" customHeight="1" spans="1:21">
      <c r="A33" s="8"/>
      <c r="B33" s="16" t="s">
        <v>106</v>
      </c>
      <c r="C33" s="17">
        <f>SUMPRODUCT((销售明细!$A$2:$A$500=$C$3)*--((($F$3="全部")+(销售明细!$B$2:$B$500=$F$3))&gt;0)*--((($I$3="全部")+(销售明细!$C$2:$C$500=$I$3))&gt;0)*--((($L$3="全部")+(销售明细!$D$2:$D$500=$L$3))&gt;0)*--((销售明细!$M$2:$M$500=B33)&gt;0)*销售明细!$N$2:$N$500)</f>
        <v>1423</v>
      </c>
      <c r="D33" s="17">
        <f>SUMPRODUCT((销售明细!$A$2:$A$500=$C$3)*--((($F$3="全部")+(销售明细!$B$2:$B$500=$F$3))&gt;0)*--((($I$3="全部")+(销售明细!$C$2:$C$500=$I$3))&gt;0)*--((($L$3="全部")+(销售明细!$D$2:$D$500=$L$3))&gt;0)*--((销售明细!$M$2:$M$500=B33)&gt;0)*销售明细!$O$2:$O$500)</f>
        <v>22870</v>
      </c>
      <c r="E33" s="17" t="e">
        <f>SUMPRODUCT((出货退货!$A$2:$A$500=$C$3)*--((($F$3="全部")+(出货退货!$B$2:$B$500=$F$3))&gt;0)*--((($I$3="全部")+(出货退货!$C$2:$C$500=$I$3))&gt;0)*--((($L$3="全部")+(出货退货!$D$2:$D$500=$L$3))&gt;0)*出货退货!$I$2:$I$500)</f>
        <v>#VALUE!</v>
      </c>
      <c r="F33" s="17" t="e">
        <f>SUMPRODUCT((出货退货!$A$2:$A$500=$C$3)*--((($F$3="全部")+(出货退货!$B$2:$B$500=$F$3))&gt;0)*--((($I$3="全部")+(出货退货!$C$2:$C$500=$I$3))&gt;0)*--((($L$3="全部")+(出货退货!$D$2:$D$500=$L$3))&gt;0)*出货退货!$J$2:$J$500)</f>
        <v>#VALUE!</v>
      </c>
      <c r="G33" s="18">
        <f>IFERROR(F33/D33,0)</f>
        <v>0</v>
      </c>
      <c r="H33" s="16" t="s">
        <v>102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ht="22" customHeight="1" spans="1:2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ht="22" customHeight="1" spans="1:2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ht="22" customHeight="1" spans="1:21">
      <c r="A36" s="8"/>
      <c r="B36" s="12" t="s">
        <v>107</v>
      </c>
      <c r="C36" s="13"/>
      <c r="D36" s="13"/>
      <c r="E36" s="13"/>
      <c r="F36" s="13"/>
      <c r="G36" s="13"/>
      <c r="H36" s="13"/>
      <c r="I36" s="13"/>
      <c r="J36" s="14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ht="22" customHeight="1" spans="1:21">
      <c r="A37" s="8"/>
      <c r="B37" s="15" t="s">
        <v>108</v>
      </c>
      <c r="C37" s="15" t="s">
        <v>3</v>
      </c>
      <c r="D37" s="15" t="s">
        <v>5</v>
      </c>
      <c r="E37" s="15" t="s">
        <v>69</v>
      </c>
      <c r="F37" s="15" t="s">
        <v>109</v>
      </c>
      <c r="G37" s="15" t="s">
        <v>110</v>
      </c>
      <c r="H37" s="15" t="s">
        <v>84</v>
      </c>
      <c r="I37" s="15" t="s">
        <v>85</v>
      </c>
      <c r="J37" s="15" t="s">
        <v>6</v>
      </c>
      <c r="K37" s="15" t="s">
        <v>7</v>
      </c>
      <c r="L37" s="15" t="s">
        <v>72</v>
      </c>
      <c r="M37" s="15" t="s">
        <v>73</v>
      </c>
      <c r="N37" s="15" t="s">
        <v>111</v>
      </c>
      <c r="O37" s="8"/>
      <c r="P37" s="8"/>
      <c r="Q37" s="8"/>
      <c r="R37" s="8"/>
      <c r="S37" s="8"/>
      <c r="T37" s="8"/>
      <c r="U37" s="8"/>
    </row>
    <row r="38" ht="22" customHeight="1" spans="1:21">
      <c r="A38" s="8"/>
      <c r="B38" s="16">
        <f>出货退货!A2</f>
        <v>46172</v>
      </c>
      <c r="C38" s="16" t="str">
        <f>出货退货!B2</f>
        <v>盒马</v>
      </c>
      <c r="D38" s="16" t="str">
        <f>出货退货!C2</f>
        <v>华中</v>
      </c>
      <c r="E38" s="16" t="str">
        <f>出货退货!D2</f>
        <v>湖北</v>
      </c>
      <c r="F38" s="16" t="str">
        <f>出货退货!E2</f>
        <v>HM001</v>
      </c>
      <c r="G38" s="16" t="str">
        <f>出货退货!F2</f>
        <v>武汉珞狮路店</v>
      </c>
      <c r="H38" s="16" t="str">
        <f>出货退货!G2</f>
        <v>431448153</v>
      </c>
      <c r="I38" s="16" t="str">
        <f>出货退货!H2</f>
        <v>盒马工坊 蒜香无骨鸡爪 230g</v>
      </c>
      <c r="J38" s="17">
        <f>出货退货!I2</f>
        <v>24043</v>
      </c>
      <c r="K38" s="17" t="str">
        <f>出货退货!J2</f>
        <v/>
      </c>
      <c r="L38" s="17">
        <f>出货退货!K2</f>
        <v>120</v>
      </c>
      <c r="M38" s="17" t="str">
        <f>出货退货!L2</f>
        <v/>
      </c>
      <c r="N38" s="16" t="str">
        <f>出货退货!M2</f>
        <v>当天入库采购件数数量</v>
      </c>
      <c r="O38" s="8"/>
      <c r="P38" s="8"/>
      <c r="Q38" s="8"/>
      <c r="R38" s="8"/>
      <c r="S38" s="8"/>
      <c r="T38" s="8"/>
      <c r="U38" s="8"/>
    </row>
    <row r="39" ht="22" customHeight="1" spans="1:21">
      <c r="A39" s="8"/>
      <c r="B39" s="16">
        <f>出货退货!A3</f>
        <v>46172</v>
      </c>
      <c r="C39" s="16" t="str">
        <f>出货退货!B3</f>
        <v>家得福</v>
      </c>
      <c r="D39" s="16" t="str">
        <f>出货退货!C3</f>
        <v>华东</v>
      </c>
      <c r="E39" s="16" t="str">
        <f>出货退货!D3</f>
        <v>江苏</v>
      </c>
      <c r="F39" s="16" t="str">
        <f>出货退货!E3</f>
        <v>1001</v>
      </c>
      <c r="G39" s="16" t="str">
        <f>出货退货!F3</f>
        <v>家得福海棠店</v>
      </c>
      <c r="H39" s="16" t="str">
        <f>出货退货!G3</f>
        <v>10081319</v>
      </c>
      <c r="I39" s="16" t="str">
        <f>出货退货!H3</f>
        <v>脱骨侠酸辣柠檬无骨鸡爪780g</v>
      </c>
      <c r="J39" s="17">
        <f>出货退货!I3</f>
        <v>315</v>
      </c>
      <c r="K39" s="17">
        <f>出货退货!J3</f>
        <v>9050</v>
      </c>
      <c r="L39" s="17">
        <f>出货退货!K3</f>
        <v>0</v>
      </c>
      <c r="M39" s="17">
        <f>出货退货!L3</f>
        <v>0</v>
      </c>
      <c r="N39" s="16" t="str">
        <f>出货退货!M3</f>
        <v>进货数量/含税进货金额</v>
      </c>
      <c r="O39" s="8"/>
      <c r="P39" s="8"/>
      <c r="Q39" s="8"/>
      <c r="R39" s="8"/>
      <c r="S39" s="8"/>
      <c r="T39" s="8"/>
      <c r="U39" s="8"/>
    </row>
    <row r="40" ht="22" customHeight="1" spans="1:21">
      <c r="A40" s="8"/>
      <c r="B40" s="16">
        <f>出货退货!A4</f>
        <v>46172</v>
      </c>
      <c r="C40" s="16" t="str">
        <f>出货退货!B4</f>
        <v>大润发</v>
      </c>
      <c r="D40" s="16" t="str">
        <f>出货退货!C4</f>
        <v>华东</v>
      </c>
      <c r="E40" s="16" t="str">
        <f>出货退货!D4</f>
        <v>上海</v>
      </c>
      <c r="F40" s="16" t="str">
        <f>出货退货!E4</f>
        <v>1001</v>
      </c>
      <c r="G40" s="16" t="str">
        <f>出货退货!F4</f>
        <v>闸北店</v>
      </c>
      <c r="H40" s="16" t="str">
        <f>出货退货!G4</f>
        <v>4354168</v>
      </c>
      <c r="I40" s="16" t="str">
        <f>出货退货!H4</f>
        <v>脱骨侠无骨鸡爪(柠檬味)</v>
      </c>
      <c r="J40" s="17">
        <f>出货退货!I4</f>
        <v>725</v>
      </c>
      <c r="K40" s="17" t="str">
        <f>出货退货!J4</f>
        <v/>
      </c>
      <c r="L40" s="17" t="str">
        <f>出货退货!K4</f>
        <v/>
      </c>
      <c r="M40" s="17" t="str">
        <f>出货退货!L4</f>
        <v/>
      </c>
      <c r="N40" s="16" t="str">
        <f>出货退货!M4</f>
        <v>待收</v>
      </c>
      <c r="O40" s="8"/>
      <c r="P40" s="8"/>
      <c r="Q40" s="8"/>
      <c r="R40" s="8"/>
      <c r="S40" s="8"/>
      <c r="T40" s="8"/>
      <c r="U40" s="8"/>
    </row>
    <row r="41" ht="22" customHeight="1" spans="1:21">
      <c r="A41" s="8"/>
      <c r="B41" s="16">
        <f>出货退货!A5</f>
        <v>46172</v>
      </c>
      <c r="C41" s="16" t="str">
        <f>出货退货!B5</f>
        <v>沃尔玛</v>
      </c>
      <c r="D41" s="16" t="str">
        <f>出货退货!C5</f>
        <v>华南</v>
      </c>
      <c r="E41" s="16" t="str">
        <f>出货退货!D5</f>
        <v>广东</v>
      </c>
      <c r="F41" s="16" t="str">
        <f>出货退货!E5</f>
        <v>101</v>
      </c>
      <c r="G41" s="16" t="str">
        <f>出货退货!F5</f>
        <v>沃尔玛广州天河店</v>
      </c>
      <c r="H41" s="16" t="str">
        <f>出货退货!G5</f>
        <v>25354863</v>
      </c>
      <c r="I41" s="16" t="str">
        <f>出货退货!H5</f>
        <v>常温脱骨侠无骨鸡爪柠檬</v>
      </c>
      <c r="J41" s="17" t="str">
        <f>出货退货!I5</f>
        <v/>
      </c>
      <c r="K41" s="17" t="str">
        <f>出货退货!J5</f>
        <v/>
      </c>
      <c r="L41" s="17" t="str">
        <f>出货退货!K5</f>
        <v/>
      </c>
      <c r="M41" s="17" t="str">
        <f>出货退货!L5</f>
        <v/>
      </c>
      <c r="N41" s="16" t="str">
        <f>出货退货!M5</f>
        <v>缺进货源</v>
      </c>
      <c r="O41" s="8"/>
      <c r="P41" s="8"/>
      <c r="Q41" s="8"/>
      <c r="R41" s="8"/>
      <c r="S41" s="8"/>
      <c r="T41" s="8"/>
      <c r="U41" s="8"/>
    </row>
    <row r="42" ht="22" customHeight="1" spans="1:21">
      <c r="A42" s="8"/>
      <c r="B42" s="16">
        <f>出货退货!A6</f>
        <v>0</v>
      </c>
      <c r="C42" s="16">
        <f>出货退货!B6</f>
        <v>0</v>
      </c>
      <c r="D42" s="16">
        <f>出货退货!C6</f>
        <v>0</v>
      </c>
      <c r="E42" s="16">
        <f>出货退货!D6</f>
        <v>0</v>
      </c>
      <c r="F42" s="16">
        <f>出货退货!E6</f>
        <v>0</v>
      </c>
      <c r="G42" s="16">
        <f>出货退货!F6</f>
        <v>0</v>
      </c>
      <c r="H42" s="16">
        <f>出货退货!G6</f>
        <v>0</v>
      </c>
      <c r="I42" s="16">
        <f>出货退货!H6</f>
        <v>0</v>
      </c>
      <c r="J42" s="17">
        <f>出货退货!I6</f>
        <v>0</v>
      </c>
      <c r="K42" s="17">
        <f>出货退货!J6</f>
        <v>0</v>
      </c>
      <c r="L42" s="17">
        <f>出货退货!K6</f>
        <v>0</v>
      </c>
      <c r="M42" s="17">
        <f>出货退货!L6</f>
        <v>0</v>
      </c>
      <c r="N42" s="16">
        <f>出货退货!M6</f>
        <v>0</v>
      </c>
      <c r="O42" s="8"/>
      <c r="P42" s="8"/>
      <c r="Q42" s="8"/>
      <c r="R42" s="8"/>
      <c r="S42" s="8"/>
      <c r="T42" s="8"/>
      <c r="U42" s="8"/>
    </row>
    <row r="43" ht="22" customHeight="1" spans="1:21">
      <c r="A43" s="8"/>
      <c r="B43" s="16">
        <f>出货退货!A7</f>
        <v>0</v>
      </c>
      <c r="C43" s="16">
        <f>出货退货!B7</f>
        <v>0</v>
      </c>
      <c r="D43" s="16">
        <f>出货退货!C7</f>
        <v>0</v>
      </c>
      <c r="E43" s="16">
        <f>出货退货!D7</f>
        <v>0</v>
      </c>
      <c r="F43" s="16">
        <f>出货退货!E7</f>
        <v>0</v>
      </c>
      <c r="G43" s="16">
        <f>出货退货!F7</f>
        <v>0</v>
      </c>
      <c r="H43" s="16">
        <f>出货退货!G7</f>
        <v>0</v>
      </c>
      <c r="I43" s="16">
        <f>出货退货!H7</f>
        <v>0</v>
      </c>
      <c r="J43" s="17">
        <f>出货退货!I7</f>
        <v>0</v>
      </c>
      <c r="K43" s="17">
        <f>出货退货!J7</f>
        <v>0</v>
      </c>
      <c r="L43" s="17">
        <f>出货退货!K7</f>
        <v>0</v>
      </c>
      <c r="M43" s="17">
        <f>出货退货!L7</f>
        <v>0</v>
      </c>
      <c r="N43" s="16">
        <f>出货退货!M7</f>
        <v>0</v>
      </c>
      <c r="O43" s="8"/>
      <c r="P43" s="8"/>
      <c r="Q43" s="8"/>
      <c r="R43" s="8"/>
      <c r="S43" s="8"/>
      <c r="T43" s="8"/>
      <c r="U43" s="8"/>
    </row>
    <row r="44" ht="22" customHeight="1" spans="1:21">
      <c r="A44" s="8"/>
      <c r="B44" s="16">
        <f>出货退货!A8</f>
        <v>0</v>
      </c>
      <c r="C44" s="16">
        <f>出货退货!B8</f>
        <v>0</v>
      </c>
      <c r="D44" s="16">
        <f>出货退货!C8</f>
        <v>0</v>
      </c>
      <c r="E44" s="16">
        <f>出货退货!D8</f>
        <v>0</v>
      </c>
      <c r="F44" s="16">
        <f>出货退货!E8</f>
        <v>0</v>
      </c>
      <c r="G44" s="16">
        <f>出货退货!F8</f>
        <v>0</v>
      </c>
      <c r="H44" s="16">
        <f>出货退货!G8</f>
        <v>0</v>
      </c>
      <c r="I44" s="16">
        <f>出货退货!H8</f>
        <v>0</v>
      </c>
      <c r="J44" s="17">
        <f>出货退货!I8</f>
        <v>0</v>
      </c>
      <c r="K44" s="17">
        <f>出货退货!J8</f>
        <v>0</v>
      </c>
      <c r="L44" s="17">
        <f>出货退货!K8</f>
        <v>0</v>
      </c>
      <c r="M44" s="17">
        <f>出货退货!L8</f>
        <v>0</v>
      </c>
      <c r="N44" s="16">
        <f>出货退货!M8</f>
        <v>0</v>
      </c>
      <c r="O44" s="8"/>
      <c r="P44" s="8"/>
      <c r="Q44" s="8"/>
      <c r="R44" s="8"/>
      <c r="S44" s="8"/>
      <c r="T44" s="8"/>
      <c r="U44" s="8"/>
    </row>
    <row r="45" ht="22" customHeight="1" spans="1:21">
      <c r="A45" s="8"/>
      <c r="B45" s="16">
        <f>出货退货!A9</f>
        <v>0</v>
      </c>
      <c r="C45" s="16">
        <f>出货退货!B9</f>
        <v>0</v>
      </c>
      <c r="D45" s="16">
        <f>出货退货!C9</f>
        <v>0</v>
      </c>
      <c r="E45" s="16">
        <f>出货退货!D9</f>
        <v>0</v>
      </c>
      <c r="F45" s="16">
        <f>出货退货!E9</f>
        <v>0</v>
      </c>
      <c r="G45" s="16">
        <f>出货退货!F9</f>
        <v>0</v>
      </c>
      <c r="H45" s="16">
        <f>出货退货!G9</f>
        <v>0</v>
      </c>
      <c r="I45" s="16">
        <f>出货退货!H9</f>
        <v>0</v>
      </c>
      <c r="J45" s="17">
        <f>出货退货!I9</f>
        <v>0</v>
      </c>
      <c r="K45" s="17">
        <f>出货退货!J9</f>
        <v>0</v>
      </c>
      <c r="L45" s="17">
        <f>出货退货!K9</f>
        <v>0</v>
      </c>
      <c r="M45" s="17">
        <f>出货退货!L9</f>
        <v>0</v>
      </c>
      <c r="N45" s="16">
        <f>出货退货!M9</f>
        <v>0</v>
      </c>
      <c r="O45" s="8"/>
      <c r="P45" s="8"/>
      <c r="Q45" s="8"/>
      <c r="R45" s="8"/>
      <c r="S45" s="8"/>
      <c r="T45" s="8"/>
      <c r="U45" s="8"/>
    </row>
    <row r="46" ht="22" customHeight="1" spans="1:21">
      <c r="A46" s="8"/>
      <c r="B46" s="16">
        <f>出货退货!A10</f>
        <v>0</v>
      </c>
      <c r="C46" s="16">
        <f>出货退货!B10</f>
        <v>0</v>
      </c>
      <c r="D46" s="16">
        <f>出货退货!C10</f>
        <v>0</v>
      </c>
      <c r="E46" s="16">
        <f>出货退货!D10</f>
        <v>0</v>
      </c>
      <c r="F46" s="16">
        <f>出货退货!E10</f>
        <v>0</v>
      </c>
      <c r="G46" s="16">
        <f>出货退货!F10</f>
        <v>0</v>
      </c>
      <c r="H46" s="16">
        <f>出货退货!G10</f>
        <v>0</v>
      </c>
      <c r="I46" s="16">
        <f>出货退货!H10</f>
        <v>0</v>
      </c>
      <c r="J46" s="17">
        <f>出货退货!I10</f>
        <v>0</v>
      </c>
      <c r="K46" s="17">
        <f>出货退货!J10</f>
        <v>0</v>
      </c>
      <c r="L46" s="17">
        <f>出货退货!K10</f>
        <v>0</v>
      </c>
      <c r="M46" s="17">
        <f>出货退货!L10</f>
        <v>0</v>
      </c>
      <c r="N46" s="16">
        <f>出货退货!M10</f>
        <v>0</v>
      </c>
      <c r="O46" s="8"/>
      <c r="P46" s="8"/>
      <c r="Q46" s="8"/>
      <c r="R46" s="8"/>
      <c r="S46" s="8"/>
      <c r="T46" s="8"/>
      <c r="U46" s="8"/>
    </row>
    <row r="47" ht="22" customHeight="1" spans="1:21">
      <c r="A47" s="8"/>
      <c r="B47" s="16">
        <f>出货退货!A11</f>
        <v>0</v>
      </c>
      <c r="C47" s="16">
        <f>出货退货!B11</f>
        <v>0</v>
      </c>
      <c r="D47" s="16">
        <f>出货退货!C11</f>
        <v>0</v>
      </c>
      <c r="E47" s="16">
        <f>出货退货!D11</f>
        <v>0</v>
      </c>
      <c r="F47" s="16">
        <f>出货退货!E11</f>
        <v>0</v>
      </c>
      <c r="G47" s="16">
        <f>出货退货!F11</f>
        <v>0</v>
      </c>
      <c r="H47" s="16">
        <f>出货退货!G11</f>
        <v>0</v>
      </c>
      <c r="I47" s="16">
        <f>出货退货!H11</f>
        <v>0</v>
      </c>
      <c r="J47" s="17">
        <f>出货退货!I11</f>
        <v>0</v>
      </c>
      <c r="K47" s="17">
        <f>出货退货!J11</f>
        <v>0</v>
      </c>
      <c r="L47" s="17">
        <f>出货退货!K11</f>
        <v>0</v>
      </c>
      <c r="M47" s="17">
        <f>出货退货!L11</f>
        <v>0</v>
      </c>
      <c r="N47" s="16">
        <f>出货退货!M11</f>
        <v>0</v>
      </c>
      <c r="O47" s="8"/>
      <c r="P47" s="8"/>
      <c r="Q47" s="8"/>
      <c r="R47" s="8"/>
      <c r="S47" s="8"/>
      <c r="T47" s="8"/>
      <c r="U47" s="8"/>
    </row>
    <row r="48" ht="22" customHeight="1" spans="1:21">
      <c r="A48" s="8"/>
      <c r="B48" s="16">
        <f>出货退货!A12</f>
        <v>0</v>
      </c>
      <c r="C48" s="16">
        <f>出货退货!B12</f>
        <v>0</v>
      </c>
      <c r="D48" s="16">
        <f>出货退货!C12</f>
        <v>0</v>
      </c>
      <c r="E48" s="16">
        <f>出货退货!D12</f>
        <v>0</v>
      </c>
      <c r="F48" s="16">
        <f>出货退货!E12</f>
        <v>0</v>
      </c>
      <c r="G48" s="16">
        <f>出货退货!F12</f>
        <v>0</v>
      </c>
      <c r="H48" s="16">
        <f>出货退货!G12</f>
        <v>0</v>
      </c>
      <c r="I48" s="16">
        <f>出货退货!H12</f>
        <v>0</v>
      </c>
      <c r="J48" s="17">
        <f>出货退货!I12</f>
        <v>0</v>
      </c>
      <c r="K48" s="17">
        <f>出货退货!J12</f>
        <v>0</v>
      </c>
      <c r="L48" s="17">
        <f>出货退货!K12</f>
        <v>0</v>
      </c>
      <c r="M48" s="17">
        <f>出货退货!L12</f>
        <v>0</v>
      </c>
      <c r="N48" s="16">
        <f>出货退货!M12</f>
        <v>0</v>
      </c>
      <c r="O48" s="8"/>
      <c r="P48" s="8"/>
      <c r="Q48" s="8"/>
      <c r="R48" s="8"/>
      <c r="S48" s="8"/>
      <c r="T48" s="8"/>
      <c r="U48" s="8"/>
    </row>
    <row r="49" ht="22" customHeight="1" spans="1:21">
      <c r="A49" s="8"/>
      <c r="B49" s="16">
        <f>出货退货!A13</f>
        <v>0</v>
      </c>
      <c r="C49" s="16">
        <f>出货退货!B13</f>
        <v>0</v>
      </c>
      <c r="D49" s="16">
        <f>出货退货!C13</f>
        <v>0</v>
      </c>
      <c r="E49" s="16">
        <f>出货退货!D13</f>
        <v>0</v>
      </c>
      <c r="F49" s="16">
        <f>出货退货!E13</f>
        <v>0</v>
      </c>
      <c r="G49" s="16">
        <f>出货退货!F13</f>
        <v>0</v>
      </c>
      <c r="H49" s="16">
        <f>出货退货!G13</f>
        <v>0</v>
      </c>
      <c r="I49" s="16">
        <f>出货退货!H13</f>
        <v>0</v>
      </c>
      <c r="J49" s="17">
        <f>出货退货!I13</f>
        <v>0</v>
      </c>
      <c r="K49" s="17">
        <f>出货退货!J13</f>
        <v>0</v>
      </c>
      <c r="L49" s="17">
        <f>出货退货!K13</f>
        <v>0</v>
      </c>
      <c r="M49" s="17">
        <f>出货退货!L13</f>
        <v>0</v>
      </c>
      <c r="N49" s="16">
        <f>出货退货!M13</f>
        <v>0</v>
      </c>
      <c r="O49" s="8"/>
      <c r="P49" s="8"/>
      <c r="Q49" s="8"/>
      <c r="R49" s="8"/>
      <c r="S49" s="8"/>
      <c r="T49" s="8"/>
      <c r="U49" s="8"/>
    </row>
    <row r="50" ht="22" customHeight="1" spans="1:21">
      <c r="A50" s="8"/>
      <c r="B50" s="16">
        <f>出货退货!A14</f>
        <v>0</v>
      </c>
      <c r="C50" s="16">
        <f>出货退货!B14</f>
        <v>0</v>
      </c>
      <c r="D50" s="16">
        <f>出货退货!C14</f>
        <v>0</v>
      </c>
      <c r="E50" s="16">
        <f>出货退货!D14</f>
        <v>0</v>
      </c>
      <c r="F50" s="16">
        <f>出货退货!E14</f>
        <v>0</v>
      </c>
      <c r="G50" s="16">
        <f>出货退货!F14</f>
        <v>0</v>
      </c>
      <c r="H50" s="16">
        <f>出货退货!G14</f>
        <v>0</v>
      </c>
      <c r="I50" s="16">
        <f>出货退货!H14</f>
        <v>0</v>
      </c>
      <c r="J50" s="17">
        <f>出货退货!I14</f>
        <v>0</v>
      </c>
      <c r="K50" s="17">
        <f>出货退货!J14</f>
        <v>0</v>
      </c>
      <c r="L50" s="17">
        <f>出货退货!K14</f>
        <v>0</v>
      </c>
      <c r="M50" s="17">
        <f>出货退货!L14</f>
        <v>0</v>
      </c>
      <c r="N50" s="16">
        <f>出货退货!M14</f>
        <v>0</v>
      </c>
      <c r="O50" s="8"/>
      <c r="P50" s="8"/>
      <c r="Q50" s="8"/>
      <c r="R50" s="8"/>
      <c r="S50" s="8"/>
      <c r="T50" s="8"/>
      <c r="U50" s="8"/>
    </row>
    <row r="51" ht="22" customHeight="1" spans="1:21">
      <c r="A51" s="8"/>
      <c r="B51" s="16">
        <f>出货退货!A15</f>
        <v>0</v>
      </c>
      <c r="C51" s="16">
        <f>出货退货!B15</f>
        <v>0</v>
      </c>
      <c r="D51" s="16">
        <f>出货退货!C15</f>
        <v>0</v>
      </c>
      <c r="E51" s="16">
        <f>出货退货!D15</f>
        <v>0</v>
      </c>
      <c r="F51" s="16">
        <f>出货退货!E15</f>
        <v>0</v>
      </c>
      <c r="G51" s="16">
        <f>出货退货!F15</f>
        <v>0</v>
      </c>
      <c r="H51" s="16">
        <f>出货退货!G15</f>
        <v>0</v>
      </c>
      <c r="I51" s="16">
        <f>出货退货!H15</f>
        <v>0</v>
      </c>
      <c r="J51" s="17">
        <f>出货退货!I15</f>
        <v>0</v>
      </c>
      <c r="K51" s="17">
        <f>出货退货!J15</f>
        <v>0</v>
      </c>
      <c r="L51" s="17">
        <f>出货退货!K15</f>
        <v>0</v>
      </c>
      <c r="M51" s="17">
        <f>出货退货!L15</f>
        <v>0</v>
      </c>
      <c r="N51" s="16">
        <f>出货退货!M15</f>
        <v>0</v>
      </c>
      <c r="O51" s="8"/>
      <c r="P51" s="8"/>
      <c r="Q51" s="8"/>
      <c r="R51" s="8"/>
      <c r="S51" s="8"/>
      <c r="T51" s="8"/>
      <c r="U51" s="8"/>
    </row>
    <row r="52" ht="22" customHeight="1" spans="1:21">
      <c r="A52" s="8"/>
      <c r="B52" s="16">
        <f>出货退货!A16</f>
        <v>0</v>
      </c>
      <c r="C52" s="16">
        <f>出货退货!B16</f>
        <v>0</v>
      </c>
      <c r="D52" s="16">
        <f>出货退货!C16</f>
        <v>0</v>
      </c>
      <c r="E52" s="16">
        <f>出货退货!D16</f>
        <v>0</v>
      </c>
      <c r="F52" s="16">
        <f>出货退货!E16</f>
        <v>0</v>
      </c>
      <c r="G52" s="16">
        <f>出货退货!F16</f>
        <v>0</v>
      </c>
      <c r="H52" s="16">
        <f>出货退货!G16</f>
        <v>0</v>
      </c>
      <c r="I52" s="16">
        <f>出货退货!H16</f>
        <v>0</v>
      </c>
      <c r="J52" s="17">
        <f>出货退货!I16</f>
        <v>0</v>
      </c>
      <c r="K52" s="17">
        <f>出货退货!J16</f>
        <v>0</v>
      </c>
      <c r="L52" s="17">
        <f>出货退货!K16</f>
        <v>0</v>
      </c>
      <c r="M52" s="17">
        <f>出货退货!L16</f>
        <v>0</v>
      </c>
      <c r="N52" s="16">
        <f>出货退货!M16</f>
        <v>0</v>
      </c>
      <c r="O52" s="8"/>
      <c r="P52" s="8"/>
      <c r="Q52" s="8"/>
      <c r="R52" s="8"/>
      <c r="S52" s="8"/>
      <c r="T52" s="8"/>
      <c r="U52" s="8"/>
    </row>
    <row r="53" ht="22" customHeight="1" spans="1:21">
      <c r="A53" s="8"/>
      <c r="B53" s="16">
        <f>出货退货!A17</f>
        <v>0</v>
      </c>
      <c r="C53" s="16">
        <f>出货退货!B17</f>
        <v>0</v>
      </c>
      <c r="D53" s="16">
        <f>出货退货!C17</f>
        <v>0</v>
      </c>
      <c r="E53" s="16">
        <f>出货退货!D17</f>
        <v>0</v>
      </c>
      <c r="F53" s="16">
        <f>出货退货!E17</f>
        <v>0</v>
      </c>
      <c r="G53" s="16">
        <f>出货退货!F17</f>
        <v>0</v>
      </c>
      <c r="H53" s="16">
        <f>出货退货!G17</f>
        <v>0</v>
      </c>
      <c r="I53" s="16">
        <f>出货退货!H17</f>
        <v>0</v>
      </c>
      <c r="J53" s="17">
        <f>出货退货!I17</f>
        <v>0</v>
      </c>
      <c r="K53" s="17">
        <f>出货退货!J17</f>
        <v>0</v>
      </c>
      <c r="L53" s="17">
        <f>出货退货!K17</f>
        <v>0</v>
      </c>
      <c r="M53" s="17">
        <f>出货退货!L17</f>
        <v>0</v>
      </c>
      <c r="N53" s="16">
        <f>出货退货!M17</f>
        <v>0</v>
      </c>
      <c r="O53" s="8"/>
      <c r="P53" s="8"/>
      <c r="Q53" s="8"/>
      <c r="R53" s="8"/>
      <c r="S53" s="8"/>
      <c r="T53" s="8"/>
      <c r="U53" s="8"/>
    </row>
    <row r="54" ht="22" customHeight="1" spans="1:21">
      <c r="A54" s="8"/>
      <c r="B54" s="16">
        <f>出货退货!A18</f>
        <v>0</v>
      </c>
      <c r="C54" s="16">
        <f>出货退货!B18</f>
        <v>0</v>
      </c>
      <c r="D54" s="16">
        <f>出货退货!C18</f>
        <v>0</v>
      </c>
      <c r="E54" s="16">
        <f>出货退货!D18</f>
        <v>0</v>
      </c>
      <c r="F54" s="16">
        <f>出货退货!E18</f>
        <v>0</v>
      </c>
      <c r="G54" s="16">
        <f>出货退货!F18</f>
        <v>0</v>
      </c>
      <c r="H54" s="16">
        <f>出货退货!G18</f>
        <v>0</v>
      </c>
      <c r="I54" s="16">
        <f>出货退货!H18</f>
        <v>0</v>
      </c>
      <c r="J54" s="17">
        <f>出货退货!I18</f>
        <v>0</v>
      </c>
      <c r="K54" s="17">
        <f>出货退货!J18</f>
        <v>0</v>
      </c>
      <c r="L54" s="17">
        <f>出货退货!K18</f>
        <v>0</v>
      </c>
      <c r="M54" s="17">
        <f>出货退货!L18</f>
        <v>0</v>
      </c>
      <c r="N54" s="16">
        <f>出货退货!M18</f>
        <v>0</v>
      </c>
      <c r="O54" s="8"/>
      <c r="P54" s="8"/>
      <c r="Q54" s="8"/>
      <c r="R54" s="8"/>
      <c r="S54" s="8"/>
      <c r="T54" s="8"/>
      <c r="U54" s="8"/>
    </row>
    <row r="55" ht="22" customHeight="1" spans="1:21">
      <c r="A55" s="8"/>
      <c r="B55" s="16">
        <f>出货退货!A19</f>
        <v>0</v>
      </c>
      <c r="C55" s="16">
        <f>出货退货!B19</f>
        <v>0</v>
      </c>
      <c r="D55" s="16">
        <f>出货退货!C19</f>
        <v>0</v>
      </c>
      <c r="E55" s="16">
        <f>出货退货!D19</f>
        <v>0</v>
      </c>
      <c r="F55" s="16">
        <f>出货退货!E19</f>
        <v>0</v>
      </c>
      <c r="G55" s="16">
        <f>出货退货!F19</f>
        <v>0</v>
      </c>
      <c r="H55" s="16">
        <f>出货退货!G19</f>
        <v>0</v>
      </c>
      <c r="I55" s="16">
        <f>出货退货!H19</f>
        <v>0</v>
      </c>
      <c r="J55" s="17">
        <f>出货退货!I19</f>
        <v>0</v>
      </c>
      <c r="K55" s="17">
        <f>出货退货!J19</f>
        <v>0</v>
      </c>
      <c r="L55" s="17">
        <f>出货退货!K19</f>
        <v>0</v>
      </c>
      <c r="M55" s="17">
        <f>出货退货!L19</f>
        <v>0</v>
      </c>
      <c r="N55" s="16">
        <f>出货退货!M19</f>
        <v>0</v>
      </c>
      <c r="O55" s="8"/>
      <c r="P55" s="8"/>
      <c r="Q55" s="8"/>
      <c r="R55" s="8"/>
      <c r="S55" s="8"/>
      <c r="T55" s="8"/>
      <c r="U55" s="8"/>
    </row>
    <row r="56" ht="22" customHeight="1" spans="1:21">
      <c r="A56" s="8"/>
      <c r="B56" s="16">
        <f>出货退货!A20</f>
        <v>0</v>
      </c>
      <c r="C56" s="16">
        <f>出货退货!B20</f>
        <v>0</v>
      </c>
      <c r="D56" s="16">
        <f>出货退货!C20</f>
        <v>0</v>
      </c>
      <c r="E56" s="16">
        <f>出货退货!D20</f>
        <v>0</v>
      </c>
      <c r="F56" s="16">
        <f>出货退货!E20</f>
        <v>0</v>
      </c>
      <c r="G56" s="16">
        <f>出货退货!F20</f>
        <v>0</v>
      </c>
      <c r="H56" s="16">
        <f>出货退货!G20</f>
        <v>0</v>
      </c>
      <c r="I56" s="16">
        <f>出货退货!H20</f>
        <v>0</v>
      </c>
      <c r="J56" s="17">
        <f>出货退货!I20</f>
        <v>0</v>
      </c>
      <c r="K56" s="17">
        <f>出货退货!J20</f>
        <v>0</v>
      </c>
      <c r="L56" s="17">
        <f>出货退货!K20</f>
        <v>0</v>
      </c>
      <c r="M56" s="17">
        <f>出货退货!L20</f>
        <v>0</v>
      </c>
      <c r="N56" s="16">
        <f>出货退货!M20</f>
        <v>0</v>
      </c>
      <c r="O56" s="8"/>
      <c r="P56" s="8"/>
      <c r="Q56" s="8"/>
      <c r="R56" s="8"/>
      <c r="S56" s="8"/>
      <c r="T56" s="8"/>
      <c r="U56" s="8"/>
    </row>
    <row r="57" ht="22" customHeight="1" spans="1:21">
      <c r="A57" s="8"/>
      <c r="B57" s="8">
        <f>出货退货!A21</f>
        <v>0</v>
      </c>
      <c r="C57" s="8">
        <f>出货退货!B21</f>
        <v>0</v>
      </c>
      <c r="D57" s="8">
        <f>出货退货!C21</f>
        <v>0</v>
      </c>
      <c r="E57" s="8">
        <f>出货退货!D21</f>
        <v>0</v>
      </c>
      <c r="F57" s="8">
        <f>出货退货!E21</f>
        <v>0</v>
      </c>
      <c r="G57" s="8">
        <f>出货退货!F21</f>
        <v>0</v>
      </c>
      <c r="H57" s="8">
        <f>出货退货!G21</f>
        <v>0</v>
      </c>
      <c r="I57" s="8">
        <f>出货退货!H21</f>
        <v>0</v>
      </c>
      <c r="J57" s="8">
        <f>出货退货!I21</f>
        <v>0</v>
      </c>
      <c r="K57" s="8">
        <f>出货退货!J21</f>
        <v>0</v>
      </c>
      <c r="L57" s="8">
        <f>出货退货!K21</f>
        <v>0</v>
      </c>
      <c r="M57" s="8">
        <f>出货退货!L21</f>
        <v>0</v>
      </c>
      <c r="N57" s="8">
        <f>出货退货!M21</f>
        <v>0</v>
      </c>
      <c r="O57" s="8"/>
      <c r="P57" s="8"/>
      <c r="Q57" s="8"/>
      <c r="R57" s="8"/>
      <c r="S57" s="8"/>
      <c r="T57" s="8"/>
      <c r="U57" s="8"/>
    </row>
    <row r="58" ht="22" customHeight="1" spans="1:2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ht="22" customHeight="1" spans="1:2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 ht="22" customHeight="1" spans="1:2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ht="22" customHeight="1" spans="1:2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ht="22" customHeight="1" spans="1:2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ht="22" customHeight="1" spans="1:2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 ht="22" customHeight="1" spans="1:2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r="65" ht="22" customHeight="1" spans="1:2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ht="22" customHeight="1" spans="1:2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ht="22" customHeight="1" spans="1:2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ht="22" customHeight="1" spans="1:2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ht="22" customHeight="1" spans="1:2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 ht="22" customHeight="1" spans="1:2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  <row r="71" ht="22" customHeight="1" spans="1:2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r="72" ht="22" customHeight="1" spans="1:2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</row>
    <row r="73" ht="22" customHeight="1" spans="1:2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ht="22" customHeight="1" spans="1:2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ht="22" customHeight="1" spans="1:2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 ht="22" customHeight="1" spans="1:2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 ht="22" customHeight="1" spans="1:2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 ht="22" customHeight="1" spans="1:2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r="79" ht="22" customHeight="1" spans="1:2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ht="22" customHeight="1" spans="1:2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 ht="22" customHeight="1" spans="1:2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 ht="22" customHeight="1" spans="1:2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 ht="22" customHeight="1" spans="1:2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 ht="22" customHeight="1" spans="1:2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r="85" ht="22" customHeight="1" spans="1:2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 ht="22" customHeight="1" spans="1:2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ht="22" customHeight="1" spans="1:2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</row>
    <row r="88" ht="22" customHeight="1" spans="1:2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</row>
    <row r="89" ht="22" customHeight="1" spans="1:2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r="90" spans="1:2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</row>
  </sheetData>
  <mergeCells count="6">
    <mergeCell ref="A1:U1"/>
    <mergeCell ref="A2:U2"/>
    <mergeCell ref="B5:J5"/>
    <mergeCell ref="B17:J17"/>
    <mergeCell ref="B27:J27"/>
    <mergeCell ref="B36:J36"/>
  </mergeCells>
  <dataValidations count="3">
    <dataValidation type="list" sqref="F3">
      <formula1>"全部,大润发,盒马,华润,沃尔玛,永辉,天虹,比优特,家得福"</formula1>
    </dataValidation>
    <dataValidation type="list" sqref="I3">
      <formula1>"全部,华东,华南,华北,华中,西北,东北"</formula1>
    </dataValidation>
    <dataValidation type="list" sqref="L3">
      <formula1>"全部,上海,江苏,广东,北京,湖北,浙江,黑龙江,天津"</formula1>
    </dataValidation>
  </dataValidation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0"/>
  <sheetViews>
    <sheetView showGridLines="0" workbookViewId="0">
      <pane ySplit="5" topLeftCell="A6" activePane="bottomLeft" state="frozen"/>
      <selection/>
      <selection pane="bottomLeft" activeCell="A1" sqref="A1:U1"/>
    </sheetView>
  </sheetViews>
  <sheetFormatPr defaultColWidth="9" defaultRowHeight="13.5"/>
  <cols>
    <col min="1" max="1" width="4" customWidth="1"/>
    <col min="2" max="4" width="18" customWidth="1"/>
    <col min="5" max="6" width="20" customWidth="1"/>
    <col min="7" max="10" width="16" customWidth="1"/>
    <col min="11" max="21" width="14" customWidth="1"/>
  </cols>
  <sheetData>
    <row r="1" ht="22" customHeight="1" spans="1:21">
      <c r="A1" s="6" t="s">
        <v>112</v>
      </c>
    </row>
    <row r="2" ht="22" customHeight="1" spans="1:21">
      <c r="A2" s="7" t="s">
        <v>113</v>
      </c>
    </row>
    <row r="3" ht="22" customHeight="1" spans="1:21">
      <c r="A3" s="8"/>
      <c r="B3" s="9" t="s">
        <v>2</v>
      </c>
      <c r="C3" s="10">
        <f>MAX(销售明细!A2:A500)</f>
        <v>46172</v>
      </c>
      <c r="D3" s="8"/>
      <c r="E3" s="9" t="s">
        <v>3</v>
      </c>
      <c r="F3" s="11" t="s">
        <v>4</v>
      </c>
      <c r="G3" s="8"/>
      <c r="H3" s="9" t="s">
        <v>5</v>
      </c>
      <c r="I3" s="11" t="s">
        <v>4</v>
      </c>
      <c r="J3" s="8"/>
      <c r="K3" s="9" t="s">
        <v>69</v>
      </c>
      <c r="L3" s="11" t="s">
        <v>4</v>
      </c>
      <c r="M3" s="8"/>
      <c r="N3" s="8"/>
      <c r="O3" s="8"/>
      <c r="P3" s="8"/>
      <c r="Q3" s="8"/>
      <c r="R3" s="8"/>
      <c r="S3" s="8"/>
      <c r="T3" s="8"/>
      <c r="U3" s="8"/>
    </row>
    <row r="4" ht="22" customHeight="1" spans="1:2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ht="22" customHeight="1" spans="1:21">
      <c r="A5" s="8"/>
      <c r="B5" s="12" t="s">
        <v>114</v>
      </c>
      <c r="C5" s="13"/>
      <c r="D5" s="13"/>
      <c r="E5" s="13"/>
      <c r="F5" s="13"/>
      <c r="G5" s="13"/>
      <c r="H5" s="13"/>
      <c r="I5" s="13"/>
      <c r="J5" s="14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ht="22" customHeight="1" spans="1:21">
      <c r="A6" s="8"/>
      <c r="B6" s="15" t="s">
        <v>3</v>
      </c>
      <c r="C6" s="15" t="s">
        <v>84</v>
      </c>
      <c r="D6" s="15" t="s">
        <v>85</v>
      </c>
      <c r="E6" s="15" t="s">
        <v>38</v>
      </c>
      <c r="F6" s="15" t="s">
        <v>39</v>
      </c>
      <c r="G6" s="15" t="s">
        <v>115</v>
      </c>
      <c r="H6" s="15" t="s">
        <v>9</v>
      </c>
      <c r="I6" s="15" t="s">
        <v>6</v>
      </c>
      <c r="J6" s="15" t="s">
        <v>116</v>
      </c>
      <c r="K6" s="15" t="s">
        <v>117</v>
      </c>
      <c r="L6" s="8"/>
      <c r="M6" s="8"/>
      <c r="N6" s="8"/>
      <c r="O6" s="8"/>
      <c r="P6" s="8"/>
      <c r="Q6" s="8"/>
      <c r="R6" s="8"/>
      <c r="S6" s="8"/>
      <c r="T6" s="8"/>
      <c r="U6" s="8"/>
    </row>
    <row r="7" ht="22" customHeight="1" spans="1:21">
      <c r="A7" s="8"/>
      <c r="B7" s="16" t="s">
        <v>75</v>
      </c>
      <c r="C7" s="16" t="s">
        <v>87</v>
      </c>
      <c r="D7" s="16" t="s">
        <v>88</v>
      </c>
      <c r="E7" s="17" t="e">
        <f>SUMPRODUCT((出货退货!$A$2:$A$500=$C$3)*--((($F$3="全部")+(出货退货!$B$2:$B$500=$F$3))&gt;0)*--((($I$3="全部")+(出货退货!$C$2:$C$500=$I$3))&gt;0)*--((($L$3="全部")+(出货退货!$D$2:$D$500=$L$3))&gt;0)*--((出货退货!$B$2:$B$500=B7)&gt;0)*--((出货退货!$G$2:$G$500=C7)&gt;0)*出货退货!$J$2:$J$500)</f>
        <v>#VALUE!</v>
      </c>
      <c r="F7" s="17">
        <f>SUMPRODUCT((销售明细!$A$2:$A$500=$C$3)*--((($F$3="全部")+(销售明细!$B$2:$B$500=$F$3))&gt;0)*--((($I$3="全部")+(销售明细!$C$2:$C$500=$I$3))&gt;0)*--((($L$3="全部")+(销售明细!$D$2:$D$500=$L$3))&gt;0)*--((销售明细!$B$2:$B$500=B7)&gt;0)*--((销售明细!$H$2:$H$500=C7)&gt;0)*销售明细!$O$2:$O$500)</f>
        <v>22870</v>
      </c>
      <c r="G7" s="17" t="e">
        <f t="shared" ref="G7:G12" si="0">E7-F7</f>
        <v>#VALUE!</v>
      </c>
      <c r="H7" s="18">
        <f t="shared" ref="H7:H12" si="1">IFERROR(E7/F7,0)</f>
        <v>0</v>
      </c>
      <c r="I7" s="17" t="e">
        <f>SUMPRODUCT((出货退货!$A$2:$A$500=$C$3)*--((($F$3="全部")+(出货退货!$B$2:$B$500=$F$3))&gt;0)*--((($I$3="全部")+(出货退货!$C$2:$C$500=$I$3))&gt;0)*--((($L$3="全部")+(出货退货!$D$2:$D$500=$L$3))&gt;0)*--((出货退货!$B$2:$B$500=B7)&gt;0)*--((出货退货!$G$2:$G$500=C7)&gt;0)*出货退货!$I$2:$I$500)</f>
        <v>#VALUE!</v>
      </c>
      <c r="J7" s="17">
        <f>SUMPRODUCT((销售明细!$A$2:$A$500=$C$3)*--((($F$3="全部")+(销售明细!$B$2:$B$500=$F$3))&gt;0)*--((($I$3="全部")+(销售明细!$C$2:$C$500=$I$3))&gt;0)*--((($L$3="全部")+(销售明细!$D$2:$D$500=$L$3))&gt;0)*--((销售明细!$B$2:$B$500=B7)&gt;0)*--((销售明细!$H$2:$H$500=C7)&gt;0)*销售明细!$N$2:$N$500)</f>
        <v>1423</v>
      </c>
      <c r="K7" s="16" t="e">
        <f t="shared" ref="K7:K12" si="2">IF(E7=0,"缺出货源",IF(H7&lt;0.8,"出货低于POS",IF(H7&gt;1.2,"出货高于POS","匹配")))</f>
        <v>#VALUE!</v>
      </c>
      <c r="L7" s="8"/>
      <c r="M7" s="8"/>
      <c r="N7" s="8"/>
      <c r="O7" s="8"/>
      <c r="P7" s="8"/>
      <c r="Q7" s="8"/>
      <c r="R7" s="8"/>
      <c r="S7" s="8"/>
      <c r="T7" s="8"/>
      <c r="U7" s="8"/>
    </row>
    <row r="8" ht="22" customHeight="1" spans="1:21">
      <c r="A8" s="8"/>
      <c r="B8" s="16" t="s">
        <v>75</v>
      </c>
      <c r="C8" s="16" t="s">
        <v>89</v>
      </c>
      <c r="D8" s="16" t="s">
        <v>90</v>
      </c>
      <c r="E8" s="17" t="e">
        <f>SUMPRODUCT((出货退货!$A$2:$A$500=$C$3)*--((($F$3="全部")+(出货退货!$B$2:$B$500=$F$3))&gt;0)*--((($I$3="全部")+(出货退货!$C$2:$C$500=$I$3))&gt;0)*--((($L$3="全部")+(出货退货!$D$2:$D$500=$L$3))&gt;0)*--((出货退货!$B$2:$B$500=B8)&gt;0)*--((出货退货!$G$2:$G$500=C8)&gt;0)*出货退货!$J$2:$J$500)</f>
        <v>#VALUE!</v>
      </c>
      <c r="F8" s="17">
        <f>SUMPRODUCT((销售明细!$A$2:$A$500=$C$3)*--((($F$3="全部")+(销售明细!$B$2:$B$500=$F$3))&gt;0)*--((($I$3="全部")+(销售明细!$C$2:$C$500=$I$3))&gt;0)*--((($L$3="全部")+(销售明细!$D$2:$D$500=$L$3))&gt;0)*--((销售明细!$B$2:$B$500=B8)&gt;0)*--((销售明细!$H$2:$H$500=C8)&gt;0)*销售明细!$O$2:$O$500)</f>
        <v>22870</v>
      </c>
      <c r="G8" s="17" t="e">
        <f t="shared" si="0"/>
        <v>#VALUE!</v>
      </c>
      <c r="H8" s="18">
        <f t="shared" si="1"/>
        <v>0</v>
      </c>
      <c r="I8" s="17" t="e">
        <f>SUMPRODUCT((出货退货!$A$2:$A$500=$C$3)*--((($F$3="全部")+(出货退货!$B$2:$B$500=$F$3))&gt;0)*--((($I$3="全部")+(出货退货!$C$2:$C$500=$I$3))&gt;0)*--((($L$3="全部")+(出货退货!$D$2:$D$500=$L$3))&gt;0)*--((出货退货!$B$2:$B$500=B8)&gt;0)*--((出货退货!$G$2:$G$500=C8)&gt;0)*出货退货!$I$2:$I$500)</f>
        <v>#VALUE!</v>
      </c>
      <c r="J8" s="17">
        <f>SUMPRODUCT((销售明细!$A$2:$A$500=$C$3)*--((($F$3="全部")+(销售明细!$B$2:$B$500=$F$3))&gt;0)*--((($I$3="全部")+(销售明细!$C$2:$C$500=$I$3))&gt;0)*--((($L$3="全部")+(销售明细!$D$2:$D$500=$L$3))&gt;0)*--((销售明细!$B$2:$B$500=B8)&gt;0)*--((销售明细!$H$2:$H$500=C8)&gt;0)*销售明细!$N$2:$N$500)</f>
        <v>1423</v>
      </c>
      <c r="K8" s="16" t="e">
        <f t="shared" si="2"/>
        <v>#VALUE!</v>
      </c>
      <c r="L8" s="8"/>
      <c r="M8" s="8"/>
      <c r="N8" s="8"/>
      <c r="O8" s="8"/>
      <c r="P8" s="8"/>
      <c r="Q8" s="8"/>
      <c r="R8" s="8"/>
      <c r="S8" s="8"/>
      <c r="T8" s="8"/>
      <c r="U8" s="8"/>
    </row>
    <row r="9" ht="22" customHeight="1" spans="1:21">
      <c r="A9" s="8"/>
      <c r="B9" s="16" t="s">
        <v>78</v>
      </c>
      <c r="C9" s="16" t="s">
        <v>91</v>
      </c>
      <c r="D9" s="16" t="s">
        <v>92</v>
      </c>
      <c r="E9" s="17" t="e">
        <f>SUMPRODUCT((出货退货!$A$2:$A$500=$C$3)*--((($F$3="全部")+(出货退货!$B$2:$B$500=$F$3))&gt;0)*--((($I$3="全部")+(出货退货!$C$2:$C$500=$I$3))&gt;0)*--((($L$3="全部")+(出货退货!$D$2:$D$500=$L$3))&gt;0)*--((出货退货!$B$2:$B$500=B9)&gt;0)*--((出货退货!$G$2:$G$500=C9)&gt;0)*出货退货!$J$2:$J$500)</f>
        <v>#VALUE!</v>
      </c>
      <c r="F9" s="17">
        <f>SUMPRODUCT((销售明细!$A$2:$A$500=$C$3)*--((($F$3="全部")+(销售明细!$B$2:$B$500=$F$3))&gt;0)*--((($I$3="全部")+(销售明细!$C$2:$C$500=$I$3))&gt;0)*--((($L$3="全部")+(销售明细!$D$2:$D$500=$L$3))&gt;0)*--((销售明细!$B$2:$B$500=B9)&gt;0)*--((销售明细!$H$2:$H$500=C9)&gt;0)*销售明细!$O$2:$O$500)</f>
        <v>22870</v>
      </c>
      <c r="G9" s="17" t="e">
        <f t="shared" si="0"/>
        <v>#VALUE!</v>
      </c>
      <c r="H9" s="18">
        <f t="shared" si="1"/>
        <v>0</v>
      </c>
      <c r="I9" s="17" t="e">
        <f>SUMPRODUCT((出货退货!$A$2:$A$500=$C$3)*--((($F$3="全部")+(出货退货!$B$2:$B$500=$F$3))&gt;0)*--((($I$3="全部")+(出货退货!$C$2:$C$500=$I$3))&gt;0)*--((($L$3="全部")+(出货退货!$D$2:$D$500=$L$3))&gt;0)*--((出货退货!$B$2:$B$500=B9)&gt;0)*--((出货退货!$G$2:$G$500=C9)&gt;0)*出货退货!$I$2:$I$500)</f>
        <v>#VALUE!</v>
      </c>
      <c r="J9" s="17">
        <f>SUMPRODUCT((销售明细!$A$2:$A$500=$C$3)*--((($F$3="全部")+(销售明细!$B$2:$B$500=$F$3))&gt;0)*--((($I$3="全部")+(销售明细!$C$2:$C$500=$I$3))&gt;0)*--((($L$3="全部")+(销售明细!$D$2:$D$500=$L$3))&gt;0)*--((销售明细!$B$2:$B$500=B9)&gt;0)*--((销售明细!$H$2:$H$500=C9)&gt;0)*销售明细!$N$2:$N$500)</f>
        <v>1423</v>
      </c>
      <c r="K9" s="16" t="e">
        <f t="shared" si="2"/>
        <v>#VALUE!</v>
      </c>
      <c r="L9" s="8"/>
      <c r="M9" s="8"/>
      <c r="N9" s="8"/>
      <c r="O9" s="8"/>
      <c r="P9" s="8"/>
      <c r="Q9" s="8"/>
      <c r="R9" s="8"/>
      <c r="S9" s="8"/>
      <c r="T9" s="8"/>
      <c r="U9" s="8"/>
    </row>
    <row r="10" ht="22" customHeight="1" spans="1:21">
      <c r="A10" s="8"/>
      <c r="B10" s="16" t="s">
        <v>76</v>
      </c>
      <c r="C10" s="16" t="s">
        <v>93</v>
      </c>
      <c r="D10" s="16" t="s">
        <v>94</v>
      </c>
      <c r="E10" s="17" t="e">
        <f>SUMPRODUCT((出货退货!$A$2:$A$500=$C$3)*--((($F$3="全部")+(出货退货!$B$2:$B$500=$F$3))&gt;0)*--((($I$3="全部")+(出货退货!$C$2:$C$500=$I$3))&gt;0)*--((($L$3="全部")+(出货退货!$D$2:$D$500=$L$3))&gt;0)*--((出货退货!$B$2:$B$500=B10)&gt;0)*--((出货退货!$G$2:$G$500=C10)&gt;0)*出货退货!$J$2:$J$500)</f>
        <v>#VALUE!</v>
      </c>
      <c r="F10" s="17">
        <f>SUMPRODUCT((销售明细!$A$2:$A$500=$C$3)*--((($F$3="全部")+(销售明细!$B$2:$B$500=$F$3))&gt;0)*--((($I$3="全部")+(销售明细!$C$2:$C$500=$I$3))&gt;0)*--((($L$3="全部")+(销售明细!$D$2:$D$500=$L$3))&gt;0)*--((销售明细!$B$2:$B$500=B10)&gt;0)*--((销售明细!$H$2:$H$500=C10)&gt;0)*销售明细!$O$2:$O$500)</f>
        <v>22870</v>
      </c>
      <c r="G10" s="17" t="e">
        <f t="shared" si="0"/>
        <v>#VALUE!</v>
      </c>
      <c r="H10" s="18">
        <f t="shared" si="1"/>
        <v>0</v>
      </c>
      <c r="I10" s="17" t="e">
        <f>SUMPRODUCT((出货退货!$A$2:$A$500=$C$3)*--((($F$3="全部")+(出货退货!$B$2:$B$500=$F$3))&gt;0)*--((($I$3="全部")+(出货退货!$C$2:$C$500=$I$3))&gt;0)*--((($L$3="全部")+(出货退货!$D$2:$D$500=$L$3))&gt;0)*--((出货退货!$B$2:$B$500=B10)&gt;0)*--((出货退货!$G$2:$G$500=C10)&gt;0)*出货退货!$I$2:$I$500)</f>
        <v>#VALUE!</v>
      </c>
      <c r="J10" s="17">
        <f>SUMPRODUCT((销售明细!$A$2:$A$500=$C$3)*--((($F$3="全部")+(销售明细!$B$2:$B$500=$F$3))&gt;0)*--((($I$3="全部")+(销售明细!$C$2:$C$500=$I$3))&gt;0)*--((($L$3="全部")+(销售明细!$D$2:$D$500=$L$3))&gt;0)*--((销售明细!$B$2:$B$500=B10)&gt;0)*--((销售明细!$H$2:$H$500=C10)&gt;0)*销售明细!$N$2:$N$500)</f>
        <v>1423</v>
      </c>
      <c r="K10" s="16" t="e">
        <f t="shared" si="2"/>
        <v>#VALUE!</v>
      </c>
      <c r="L10" s="8"/>
      <c r="M10" s="8"/>
      <c r="N10" s="8"/>
      <c r="O10" s="8"/>
      <c r="P10" s="8"/>
      <c r="Q10" s="8"/>
      <c r="R10" s="8"/>
      <c r="S10" s="8"/>
      <c r="T10" s="8"/>
      <c r="U10" s="8"/>
    </row>
    <row r="11" ht="22" customHeight="1" spans="1:21">
      <c r="A11" s="8"/>
      <c r="B11" s="16" t="s">
        <v>80</v>
      </c>
      <c r="C11" s="16" t="s">
        <v>95</v>
      </c>
      <c r="D11" s="16" t="s">
        <v>96</v>
      </c>
      <c r="E11" s="17" t="e">
        <f>SUMPRODUCT((出货退货!$A$2:$A$500=$C$3)*--((($F$3="全部")+(出货退货!$B$2:$B$500=$F$3))&gt;0)*--((($I$3="全部")+(出货退货!$C$2:$C$500=$I$3))&gt;0)*--((($L$3="全部")+(出货退货!$D$2:$D$500=$L$3))&gt;0)*--((出货退货!$B$2:$B$500=B11)&gt;0)*--((出货退货!$G$2:$G$500=C11)&gt;0)*出货退货!$J$2:$J$500)</f>
        <v>#VALUE!</v>
      </c>
      <c r="F11" s="17">
        <f>SUMPRODUCT((销售明细!$A$2:$A$500=$C$3)*--((($F$3="全部")+(销售明细!$B$2:$B$500=$F$3))&gt;0)*--((($I$3="全部")+(销售明细!$C$2:$C$500=$I$3))&gt;0)*--((($L$3="全部")+(销售明细!$D$2:$D$500=$L$3))&gt;0)*--((销售明细!$B$2:$B$500=B11)&gt;0)*--((销售明细!$H$2:$H$500=C11)&gt;0)*销售明细!$O$2:$O$500)</f>
        <v>22870</v>
      </c>
      <c r="G11" s="17" t="e">
        <f t="shared" si="0"/>
        <v>#VALUE!</v>
      </c>
      <c r="H11" s="18">
        <f t="shared" si="1"/>
        <v>0</v>
      </c>
      <c r="I11" s="17" t="e">
        <f>SUMPRODUCT((出货退货!$A$2:$A$500=$C$3)*--((($F$3="全部")+(出货退货!$B$2:$B$500=$F$3))&gt;0)*--((($I$3="全部")+(出货退货!$C$2:$C$500=$I$3))&gt;0)*--((($L$3="全部")+(出货退货!$D$2:$D$500=$L$3))&gt;0)*--((出货退货!$B$2:$B$500=B11)&gt;0)*--((出货退货!$G$2:$G$500=C11)&gt;0)*出货退货!$I$2:$I$500)</f>
        <v>#VALUE!</v>
      </c>
      <c r="J11" s="17">
        <f>SUMPRODUCT((销售明细!$A$2:$A$500=$C$3)*--((($F$3="全部")+(销售明细!$B$2:$B$500=$F$3))&gt;0)*--((($I$3="全部")+(销售明细!$C$2:$C$500=$I$3))&gt;0)*--((($L$3="全部")+(销售明细!$D$2:$D$500=$L$3))&gt;0)*--((销售明细!$B$2:$B$500=B11)&gt;0)*--((销售明细!$H$2:$H$500=C11)&gt;0)*销售明细!$N$2:$N$500)</f>
        <v>1423</v>
      </c>
      <c r="K11" s="16" t="e">
        <f t="shared" si="2"/>
        <v>#VALUE!</v>
      </c>
      <c r="L11" s="8"/>
      <c r="M11" s="8"/>
      <c r="N11" s="8"/>
      <c r="O11" s="8"/>
      <c r="P11" s="8"/>
      <c r="Q11" s="8"/>
      <c r="R11" s="8"/>
      <c r="S11" s="8"/>
      <c r="T11" s="8"/>
      <c r="U11" s="8"/>
    </row>
    <row r="12" ht="22" customHeight="1" spans="1:21">
      <c r="A12" s="8"/>
      <c r="B12" s="16" t="s">
        <v>82</v>
      </c>
      <c r="C12" s="16" t="s">
        <v>97</v>
      </c>
      <c r="D12" s="16" t="s">
        <v>98</v>
      </c>
      <c r="E12" s="17" t="e">
        <f>SUMPRODUCT((出货退货!$A$2:$A$500=$C$3)*--((($F$3="全部")+(出货退货!$B$2:$B$500=$F$3))&gt;0)*--((($I$3="全部")+(出货退货!$C$2:$C$500=$I$3))&gt;0)*--((($L$3="全部")+(出货退货!$D$2:$D$500=$L$3))&gt;0)*--((出货退货!$B$2:$B$500=B12)&gt;0)*--((出货退货!$G$2:$G$500=C12)&gt;0)*出货退货!$J$2:$J$500)</f>
        <v>#VALUE!</v>
      </c>
      <c r="F12" s="17">
        <f>SUMPRODUCT((销售明细!$A$2:$A$500=$C$3)*--((($F$3="全部")+(销售明细!$B$2:$B$500=$F$3))&gt;0)*--((($I$3="全部")+(销售明细!$C$2:$C$500=$I$3))&gt;0)*--((($L$3="全部")+(销售明细!$D$2:$D$500=$L$3))&gt;0)*--((销售明细!$B$2:$B$500=B12)&gt;0)*--((销售明细!$H$2:$H$500=C12)&gt;0)*销售明细!$O$2:$O$500)</f>
        <v>22870</v>
      </c>
      <c r="G12" s="17" t="e">
        <f t="shared" si="0"/>
        <v>#VALUE!</v>
      </c>
      <c r="H12" s="18">
        <f t="shared" si="1"/>
        <v>0</v>
      </c>
      <c r="I12" s="17" t="e">
        <f>SUMPRODUCT((出货退货!$A$2:$A$500=$C$3)*--((($F$3="全部")+(出货退货!$B$2:$B$500=$F$3))&gt;0)*--((($I$3="全部")+(出货退货!$C$2:$C$500=$I$3))&gt;0)*--((($L$3="全部")+(出货退货!$D$2:$D$500=$L$3))&gt;0)*--((出货退货!$B$2:$B$500=B12)&gt;0)*--((出货退货!$G$2:$G$500=C12)&gt;0)*出货退货!$I$2:$I$500)</f>
        <v>#VALUE!</v>
      </c>
      <c r="J12" s="17">
        <f>SUMPRODUCT((销售明细!$A$2:$A$500=$C$3)*--((($F$3="全部")+(销售明细!$B$2:$B$500=$F$3))&gt;0)*--((($I$3="全部")+(销售明细!$C$2:$C$500=$I$3))&gt;0)*--((($L$3="全部")+(销售明细!$D$2:$D$500=$L$3))&gt;0)*--((销售明细!$B$2:$B$500=B12)&gt;0)*--((销售明细!$H$2:$H$500=C12)&gt;0)*销售明细!$N$2:$N$500)</f>
        <v>1423</v>
      </c>
      <c r="K12" s="16" t="e">
        <f t="shared" si="2"/>
        <v>#VALUE!</v>
      </c>
      <c r="L12" s="8"/>
      <c r="M12" s="8"/>
      <c r="N12" s="8"/>
      <c r="O12" s="8"/>
      <c r="P12" s="8"/>
      <c r="Q12" s="8"/>
      <c r="R12" s="8"/>
      <c r="S12" s="8"/>
      <c r="T12" s="8"/>
      <c r="U12" s="8"/>
    </row>
    <row r="13" ht="22" customHeight="1" spans="1:2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ht="22" customHeight="1" spans="1:2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ht="22" customHeight="1" spans="1:21">
      <c r="A15" s="8"/>
      <c r="B15" s="12" t="s">
        <v>118</v>
      </c>
      <c r="C15" s="13"/>
      <c r="D15" s="13"/>
      <c r="E15" s="13"/>
      <c r="F15" s="13"/>
      <c r="G15" s="13"/>
      <c r="H15" s="13"/>
      <c r="I15" s="13"/>
      <c r="J15" s="13"/>
      <c r="K15" s="14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ht="22" customHeight="1" spans="1:21">
      <c r="A16" s="8"/>
      <c r="B16" s="15" t="s">
        <v>111</v>
      </c>
      <c r="C16" s="15" t="s">
        <v>108</v>
      </c>
      <c r="D16" s="15" t="s">
        <v>3</v>
      </c>
      <c r="E16" s="15" t="s">
        <v>84</v>
      </c>
      <c r="F16" s="15" t="s">
        <v>85</v>
      </c>
      <c r="G16" s="15" t="s">
        <v>110</v>
      </c>
      <c r="H16" s="15" t="s">
        <v>119</v>
      </c>
      <c r="I16" s="15" t="s">
        <v>120</v>
      </c>
      <c r="J16" s="15" t="s">
        <v>121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ht="22" customHeight="1" spans="1:2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ht="22" customHeight="1" spans="1:21">
      <c r="A18" s="8"/>
      <c r="B18" s="16" t="s">
        <v>101</v>
      </c>
      <c r="C18" s="16">
        <f>销售明细!A2</f>
        <v>46166</v>
      </c>
      <c r="D18" s="16" t="str">
        <f>销售明细!B2</f>
        <v>大润发</v>
      </c>
      <c r="E18" s="16" t="str">
        <f>销售明细!H2</f>
        <v>4354168</v>
      </c>
      <c r="F18" s="16" t="str">
        <f>销售明细!J2</f>
        <v>脱骨侠无骨鸡爪(柠檬味)</v>
      </c>
      <c r="G18" s="16" t="str">
        <f>销售明细!F2</f>
        <v>闸北店</v>
      </c>
      <c r="H18" s="17">
        <f>销售明细!N2</f>
        <v>210</v>
      </c>
      <c r="I18" s="17">
        <f>销售明细!O2</f>
        <v>4675</v>
      </c>
      <c r="J18" s="16" t="str">
        <f>销售明细!M2</f>
        <v>线下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ht="22" customHeight="1" spans="1:21">
      <c r="A19" s="8"/>
      <c r="B19" s="16" t="s">
        <v>101</v>
      </c>
      <c r="C19" s="16">
        <f>销售明细!A3</f>
        <v>46166</v>
      </c>
      <c r="D19" s="16" t="str">
        <f>销售明细!B3</f>
        <v>大润发</v>
      </c>
      <c r="E19" s="16" t="str">
        <f>销售明细!H3</f>
        <v>4354169</v>
      </c>
      <c r="F19" s="16" t="str">
        <f>销售明细!J3</f>
        <v>脱骨侠无骨鸡爪(泡椒味)</v>
      </c>
      <c r="G19" s="16" t="str">
        <f>销售明细!F3</f>
        <v>杨浦店</v>
      </c>
      <c r="H19" s="17">
        <f>销售明细!N3</f>
        <v>86</v>
      </c>
      <c r="I19" s="17">
        <f>销售明细!O3</f>
        <v>1978</v>
      </c>
      <c r="J19" s="16" t="str">
        <f>销售明细!M3</f>
        <v>京东到家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ht="22" customHeight="1" spans="1:21">
      <c r="A20" s="8"/>
      <c r="B20" s="16" t="s">
        <v>101</v>
      </c>
      <c r="C20" s="16">
        <f>销售明细!A4</f>
        <v>46167</v>
      </c>
      <c r="D20" s="16" t="str">
        <f>销售明细!B4</f>
        <v>大润发</v>
      </c>
      <c r="E20" s="16" t="str">
        <f>销售明细!H4</f>
        <v>4502138</v>
      </c>
      <c r="F20" s="16" t="str">
        <f>销售明细!J4</f>
        <v>脱骨侠虎皮凤爪(白松露味)</v>
      </c>
      <c r="G20" s="16" t="str">
        <f>销售明细!F4</f>
        <v>广州天河店</v>
      </c>
      <c r="H20" s="17">
        <f>销售明细!N4</f>
        <v>134</v>
      </c>
      <c r="I20" s="17">
        <f>销售明细!O4</f>
        <v>3350</v>
      </c>
      <c r="J20" s="16" t="str">
        <f>销售明细!M4</f>
        <v>美团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ht="22" customHeight="1" spans="1:21">
      <c r="A21" s="8"/>
      <c r="B21" s="16" t="s">
        <v>101</v>
      </c>
      <c r="C21" s="16">
        <f>销售明细!A5</f>
        <v>46167</v>
      </c>
      <c r="D21" s="16" t="str">
        <f>销售明细!B5</f>
        <v>沃尔玛</v>
      </c>
      <c r="E21" s="16" t="str">
        <f>销售明细!H5</f>
        <v>25354863</v>
      </c>
      <c r="F21" s="16" t="str">
        <f>销售明细!J5</f>
        <v>常温脱骨侠无骨鸡爪柠檬</v>
      </c>
      <c r="G21" s="16" t="str">
        <f>销售明细!F5</f>
        <v>沃尔玛广州天河店</v>
      </c>
      <c r="H21" s="17">
        <f>销售明细!N5</f>
        <v>190</v>
      </c>
      <c r="I21" s="17">
        <f>销售明细!O5</f>
        <v>3800</v>
      </c>
      <c r="J21" s="16" t="str">
        <f>销售明细!M5</f>
        <v>POS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ht="22" customHeight="1" spans="1:21">
      <c r="A22" s="8"/>
      <c r="B22" s="16" t="s">
        <v>101</v>
      </c>
      <c r="C22" s="16">
        <f>销售明细!A6</f>
        <v>46168</v>
      </c>
      <c r="D22" s="16" t="str">
        <f>销售明细!B6</f>
        <v>华润</v>
      </c>
      <c r="E22" s="16" t="str">
        <f>销售明细!H6</f>
        <v>5150673</v>
      </c>
      <c r="F22" s="16" t="str">
        <f>销售明细!J6</f>
        <v>脱骨侠无骨鸡爪(柠檬味)158g</v>
      </c>
      <c r="G22" s="16" t="str">
        <f>销售明细!F6</f>
        <v>皇姑店</v>
      </c>
      <c r="H22" s="17">
        <f>销售明细!N6</f>
        <v>150</v>
      </c>
      <c r="I22" s="17">
        <f>销售明细!O6</f>
        <v>2895</v>
      </c>
      <c r="J22" s="16" t="str">
        <f>销售明细!M6</f>
        <v>线下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ht="22" customHeight="1" spans="1:21">
      <c r="A23" s="8"/>
      <c r="B23" s="16" t="s">
        <v>101</v>
      </c>
      <c r="C23" s="16">
        <f>销售明细!A7</f>
        <v>46168</v>
      </c>
      <c r="D23" s="16" t="str">
        <f>销售明细!B7</f>
        <v>盒马</v>
      </c>
      <c r="E23" s="16" t="str">
        <f>销售明细!H7</f>
        <v>431448153</v>
      </c>
      <c r="F23" s="16" t="str">
        <f>销售明细!J7</f>
        <v>盒马工坊 蒜香无骨鸡爪 230g</v>
      </c>
      <c r="G23" s="16" t="str">
        <f>销售明细!F7</f>
        <v>武汉珞狮路店</v>
      </c>
      <c r="H23" s="17">
        <f>销售明细!N7</f>
        <v>980</v>
      </c>
      <c r="I23" s="17">
        <f>销售明细!O7</f>
        <v>12740</v>
      </c>
      <c r="J23" s="16" t="str">
        <f>销售明细!M7</f>
        <v>POS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ht="22" customHeight="1" spans="1:21">
      <c r="A24" s="8"/>
      <c r="B24" s="16" t="s">
        <v>101</v>
      </c>
      <c r="C24" s="16">
        <f>销售明细!A8</f>
        <v>46169</v>
      </c>
      <c r="D24" s="16" t="str">
        <f>销售明细!B8</f>
        <v>永辉</v>
      </c>
      <c r="E24" s="16" t="str">
        <f>销售明细!H8</f>
        <v>1830795</v>
      </c>
      <c r="F24" s="16" t="str">
        <f>销售明细!J8</f>
        <v>脱骨侠蒜香酸甜辣无骨鸡爪780g</v>
      </c>
      <c r="G24" s="16" t="str">
        <f>销售明细!F8</f>
        <v>滨江区龙湖天街店</v>
      </c>
      <c r="H24" s="17">
        <f>销售明细!N8</f>
        <v>52</v>
      </c>
      <c r="I24" s="17">
        <f>销售明细!O8</f>
        <v>2225</v>
      </c>
      <c r="J24" s="16" t="str">
        <f>销售明细!M8</f>
        <v>POS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ht="22" customHeight="1" spans="1:21">
      <c r="A25" s="8"/>
      <c r="B25" s="16" t="s">
        <v>101</v>
      </c>
      <c r="C25" s="16">
        <f>销售明细!A9</f>
        <v>46169</v>
      </c>
      <c r="D25" s="16" t="str">
        <f>销售明细!B9</f>
        <v>天虹</v>
      </c>
      <c r="E25" s="16" t="str">
        <f>销售明细!H9</f>
        <v>v000110869</v>
      </c>
      <c r="F25" s="16" t="str">
        <f>销售明细!J9</f>
        <v>脱骨侠双椒无骨鸭掌</v>
      </c>
      <c r="G25" s="16" t="str">
        <f>销售明细!F9</f>
        <v>深圳创业天虹</v>
      </c>
      <c r="H25" s="17">
        <f>销售明细!N9</f>
        <v>72</v>
      </c>
      <c r="I25" s="17">
        <f>销售明细!O9</f>
        <v>2729</v>
      </c>
      <c r="J25" s="16" t="str">
        <f>销售明细!M9</f>
        <v>天虹到家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ht="22" customHeight="1" spans="1:21">
      <c r="A26" s="8"/>
      <c r="B26" s="16" t="s">
        <v>101</v>
      </c>
      <c r="C26" s="16">
        <f>销售明细!A10</f>
        <v>46170</v>
      </c>
      <c r="D26" s="16" t="str">
        <f>销售明细!B10</f>
        <v>比优特</v>
      </c>
      <c r="E26" s="16" t="str">
        <f>销售明细!H10</f>
        <v>1156752</v>
      </c>
      <c r="F26" s="16" t="str">
        <f>销售明细!J10</f>
        <v>脱骨侠无骨鸡爪蒜香酸甜辣780g</v>
      </c>
      <c r="G26" s="16" t="str">
        <f>销售明细!F10</f>
        <v>麓林山店</v>
      </c>
      <c r="H26" s="17">
        <f>销售明细!N10</f>
        <v>18</v>
      </c>
      <c r="I26" s="17">
        <f>销售明细!O10</f>
        <v>629</v>
      </c>
      <c r="J26" s="16" t="str">
        <f>销售明细!M10</f>
        <v>POS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ht="22" customHeight="1" spans="1:21">
      <c r="A27" s="8"/>
      <c r="B27" s="16" t="s">
        <v>101</v>
      </c>
      <c r="C27" s="16">
        <f>销售明细!A11</f>
        <v>46170</v>
      </c>
      <c r="D27" s="16" t="str">
        <f>销售明细!B11</f>
        <v>家得福</v>
      </c>
      <c r="E27" s="16" t="str">
        <f>销售明细!H11</f>
        <v>10081319</v>
      </c>
      <c r="F27" s="16" t="str">
        <f>销售明细!J11</f>
        <v>脱骨侠酸辣柠檬无骨鸡爪780g</v>
      </c>
      <c r="G27" s="16" t="str">
        <f>销售明细!F11</f>
        <v>家得福海棠店</v>
      </c>
      <c r="H27" s="17">
        <f>销售明细!N11</f>
        <v>35</v>
      </c>
      <c r="I27" s="17">
        <f>销售明细!O11</f>
        <v>1033</v>
      </c>
      <c r="J27" s="16" t="str">
        <f>销售明细!M11</f>
        <v>POS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ht="22" customHeight="1" spans="1:21">
      <c r="A28" s="8"/>
      <c r="B28" s="16" t="s">
        <v>101</v>
      </c>
      <c r="C28" s="16">
        <f>销售明细!A12</f>
        <v>46171</v>
      </c>
      <c r="D28" s="16" t="str">
        <f>销售明细!B12</f>
        <v>大润发</v>
      </c>
      <c r="E28" s="16" t="str">
        <f>销售明细!H12</f>
        <v>4354172</v>
      </c>
      <c r="F28" s="16" t="str">
        <f>销售明细!J12</f>
        <v>脱骨侠盐焗鸡爪</v>
      </c>
      <c r="G28" s="16" t="str">
        <f>销售明细!F12</f>
        <v>天津南开店</v>
      </c>
      <c r="H28" s="17">
        <f>销售明细!N12</f>
        <v>98</v>
      </c>
      <c r="I28" s="17">
        <f>销售明细!O12</f>
        <v>1421</v>
      </c>
      <c r="J28" s="16" t="str">
        <f>销售明细!M12</f>
        <v>线下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ht="22" customHeight="1" spans="1:21">
      <c r="A29" s="8"/>
      <c r="B29" s="16" t="s">
        <v>101</v>
      </c>
      <c r="C29" s="16">
        <f>销售明细!A13</f>
        <v>46171</v>
      </c>
      <c r="D29" s="16" t="str">
        <f>销售明细!B13</f>
        <v>沃尔玛</v>
      </c>
      <c r="E29" s="16" t="str">
        <f>销售明细!H13</f>
        <v>25325573</v>
      </c>
      <c r="F29" s="16" t="str">
        <f>销售明细!J13</f>
        <v>冷藏蒜香凤爪</v>
      </c>
      <c r="G29" s="16" t="str">
        <f>销售明细!F13</f>
        <v>沃尔玛赤峰玉龙大街店</v>
      </c>
      <c r="H29" s="17">
        <f>销售明细!N13</f>
        <v>79</v>
      </c>
      <c r="I29" s="17">
        <f>销售明细!O13</f>
        <v>2500</v>
      </c>
      <c r="J29" s="16" t="str">
        <f>销售明细!M13</f>
        <v>POS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ht="22" customHeight="1" spans="1:21">
      <c r="A30" s="8"/>
      <c r="B30" s="16" t="s">
        <v>101</v>
      </c>
      <c r="C30" s="16">
        <f>销售明细!A14</f>
        <v>46172</v>
      </c>
      <c r="D30" s="16" t="str">
        <f>销售明细!B14</f>
        <v>大润发</v>
      </c>
      <c r="E30" s="16" t="str">
        <f>销售明细!H14</f>
        <v>4354168</v>
      </c>
      <c r="F30" s="16" t="str">
        <f>销售明细!J14</f>
        <v>脱骨侠无骨鸡爪(柠檬味)</v>
      </c>
      <c r="G30" s="16" t="str">
        <f>销售明细!F14</f>
        <v>闸北店</v>
      </c>
      <c r="H30" s="17">
        <f>销售明细!N14</f>
        <v>235</v>
      </c>
      <c r="I30" s="17">
        <f>销售明细!O14</f>
        <v>5235</v>
      </c>
      <c r="J30" s="16" t="str">
        <f>销售明细!M14</f>
        <v>线下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ht="22" customHeight="1" spans="1:21">
      <c r="A31" s="8"/>
      <c r="B31" s="16" t="s">
        <v>101</v>
      </c>
      <c r="C31" s="16">
        <f>销售明细!A15</f>
        <v>46172</v>
      </c>
      <c r="D31" s="16" t="str">
        <f>销售明细!B15</f>
        <v>盒马</v>
      </c>
      <c r="E31" s="16" t="str">
        <f>销售明细!H15</f>
        <v>431448153</v>
      </c>
      <c r="F31" s="16" t="str">
        <f>销售明细!J15</f>
        <v>盒马工坊 蒜香无骨鸡爪 230g</v>
      </c>
      <c r="G31" s="16" t="str">
        <f>销售明细!F15</f>
        <v>武汉珞狮路店</v>
      </c>
      <c r="H31" s="17">
        <f>销售明细!N15</f>
        <v>1100</v>
      </c>
      <c r="I31" s="17">
        <f>销售明细!O15</f>
        <v>14300</v>
      </c>
      <c r="J31" s="16" t="str">
        <f>销售明细!M15</f>
        <v>POS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ht="22" customHeight="1" spans="1:21">
      <c r="A32" s="8"/>
      <c r="B32" s="16" t="s">
        <v>101</v>
      </c>
      <c r="C32" s="16">
        <f>销售明细!A16</f>
        <v>46172</v>
      </c>
      <c r="D32" s="16" t="str">
        <f>销售明细!B16</f>
        <v>天虹</v>
      </c>
      <c r="E32" s="16" t="str">
        <f>销售明细!H16</f>
        <v>v000110869</v>
      </c>
      <c r="F32" s="16" t="str">
        <f>销售明细!J16</f>
        <v>脱骨侠双椒无骨鸭掌</v>
      </c>
      <c r="G32" s="16" t="str">
        <f>销售明细!F16</f>
        <v>深圳创业天虹</v>
      </c>
      <c r="H32" s="17">
        <f>销售明细!N16</f>
        <v>88</v>
      </c>
      <c r="I32" s="17">
        <f>销售明细!O16</f>
        <v>3335</v>
      </c>
      <c r="J32" s="16" t="str">
        <f>销售明细!M16</f>
        <v>京东到家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ht="22" customHeight="1" spans="1:21">
      <c r="A33" s="8"/>
      <c r="B33" s="16"/>
      <c r="C33" s="16"/>
      <c r="D33" s="16"/>
      <c r="E33" s="16"/>
      <c r="F33" s="16"/>
      <c r="G33" s="16"/>
      <c r="H33" s="17"/>
      <c r="I33" s="17"/>
      <c r="J33" s="1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ht="22" customHeight="1" spans="1:21">
      <c r="A34" s="8"/>
      <c r="B34" s="16"/>
      <c r="C34" s="16"/>
      <c r="D34" s="16"/>
      <c r="E34" s="16"/>
      <c r="F34" s="16"/>
      <c r="G34" s="16"/>
      <c r="H34" s="17"/>
      <c r="I34" s="17"/>
      <c r="J34" s="16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ht="22" customHeight="1" spans="1:21">
      <c r="A35" s="8"/>
      <c r="B35" s="16" t="s">
        <v>122</v>
      </c>
      <c r="C35" s="16">
        <f>出货退货!A2</f>
        <v>46172</v>
      </c>
      <c r="D35" s="16" t="str">
        <f>出货退货!B2</f>
        <v>盒马</v>
      </c>
      <c r="E35" s="16" t="str">
        <f>出货退货!G2</f>
        <v>431448153</v>
      </c>
      <c r="F35" s="16" t="str">
        <f>出货退货!H2</f>
        <v>盒马工坊 蒜香无骨鸡爪 230g</v>
      </c>
      <c r="G35" s="16" t="str">
        <f>出货退货!F2</f>
        <v>武汉珞狮路店</v>
      </c>
      <c r="H35" s="17">
        <f>出货退货!I2</f>
        <v>24043</v>
      </c>
      <c r="I35" s="17" t="str">
        <f>出货退货!J2</f>
        <v/>
      </c>
      <c r="J35" s="16" t="str">
        <f>出货退货!M2</f>
        <v>当天入库采购件数数量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ht="22" customHeight="1" spans="1:21">
      <c r="A36" s="8"/>
      <c r="B36" s="16" t="s">
        <v>122</v>
      </c>
      <c r="C36" s="16">
        <f>出货退货!A3</f>
        <v>46172</v>
      </c>
      <c r="D36" s="16" t="str">
        <f>出货退货!B3</f>
        <v>家得福</v>
      </c>
      <c r="E36" s="16" t="str">
        <f>出货退货!G3</f>
        <v>10081319</v>
      </c>
      <c r="F36" s="16" t="str">
        <f>出货退货!H3</f>
        <v>脱骨侠酸辣柠檬无骨鸡爪780g</v>
      </c>
      <c r="G36" s="16" t="str">
        <f>出货退货!F3</f>
        <v>家得福海棠店</v>
      </c>
      <c r="H36" s="17">
        <f>出货退货!I3</f>
        <v>315</v>
      </c>
      <c r="I36" s="17">
        <f>出货退货!J3</f>
        <v>9050</v>
      </c>
      <c r="J36" s="16" t="str">
        <f>出货退货!M3</f>
        <v>进货数量/含税进货金额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ht="22" customHeight="1" spans="1:21">
      <c r="A37" s="8"/>
      <c r="B37" s="16" t="s">
        <v>122</v>
      </c>
      <c r="C37" s="16">
        <f>出货退货!A4</f>
        <v>46172</v>
      </c>
      <c r="D37" s="16" t="str">
        <f>出货退货!B4</f>
        <v>大润发</v>
      </c>
      <c r="E37" s="16" t="str">
        <f>出货退货!G4</f>
        <v>4354168</v>
      </c>
      <c r="F37" s="16" t="str">
        <f>出货退货!H4</f>
        <v>脱骨侠无骨鸡爪(柠檬味)</v>
      </c>
      <c r="G37" s="16" t="str">
        <f>出货退货!F4</f>
        <v>闸北店</v>
      </c>
      <c r="H37" s="17">
        <f>出货退货!I4</f>
        <v>725</v>
      </c>
      <c r="I37" s="17" t="str">
        <f>出货退货!J4</f>
        <v/>
      </c>
      <c r="J37" s="16" t="str">
        <f>出货退货!M4</f>
        <v>待收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ht="22" customHeight="1" spans="1:21">
      <c r="A38" s="8"/>
      <c r="B38" s="16" t="s">
        <v>122</v>
      </c>
      <c r="C38" s="16">
        <f>出货退货!A5</f>
        <v>46172</v>
      </c>
      <c r="D38" s="16" t="str">
        <f>出货退货!B5</f>
        <v>沃尔玛</v>
      </c>
      <c r="E38" s="16" t="str">
        <f>出货退货!G5</f>
        <v>25354863</v>
      </c>
      <c r="F38" s="16" t="str">
        <f>出货退货!H5</f>
        <v>常温脱骨侠无骨鸡爪柠檬</v>
      </c>
      <c r="G38" s="16" t="str">
        <f>出货退货!F5</f>
        <v>沃尔玛广州天河店</v>
      </c>
      <c r="H38" s="17" t="str">
        <f>出货退货!I5</f>
        <v/>
      </c>
      <c r="I38" s="17" t="str">
        <f>出货退货!J5</f>
        <v/>
      </c>
      <c r="J38" s="16" t="str">
        <f>出货退货!M5</f>
        <v>缺进货源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ht="22" customHeight="1" spans="1:21">
      <c r="A39" s="8"/>
      <c r="B39" s="16" t="s">
        <v>122</v>
      </c>
      <c r="C39" s="16">
        <f>出货退货!A6</f>
        <v>0</v>
      </c>
      <c r="D39" s="16">
        <f>出货退货!B6</f>
        <v>0</v>
      </c>
      <c r="E39" s="16">
        <f>出货退货!G6</f>
        <v>0</v>
      </c>
      <c r="F39" s="16">
        <f>出货退货!H6</f>
        <v>0</v>
      </c>
      <c r="G39" s="16">
        <f>出货退货!F6</f>
        <v>0</v>
      </c>
      <c r="H39" s="17">
        <f>出货退货!I6</f>
        <v>0</v>
      </c>
      <c r="I39" s="17">
        <f>出货退货!J6</f>
        <v>0</v>
      </c>
      <c r="J39" s="16">
        <f>出货退货!M6</f>
        <v>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ht="22" customHeight="1" spans="1:21">
      <c r="A40" s="8"/>
      <c r="B40" s="16"/>
      <c r="C40" s="16"/>
      <c r="D40" s="16"/>
      <c r="E40" s="16"/>
      <c r="F40" s="16"/>
      <c r="G40" s="16"/>
      <c r="H40" s="17"/>
      <c r="I40" s="17"/>
      <c r="J40" s="16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ht="22" customHeight="1" spans="1:2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ht="22" customHeight="1" spans="1:2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ht="22" customHeight="1" spans="1:2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ht="22" customHeight="1" spans="1:2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ht="22" customHeight="1" spans="1:2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ht="22" customHeight="1" spans="1:2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ht="22" customHeight="1" spans="1:2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ht="22" customHeight="1" spans="1:2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ht="22" customHeight="1" spans="1:2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ht="22" customHeight="1" spans="1:2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ht="22" customHeight="1" spans="1:2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ht="22" customHeight="1" spans="1:2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ht="22" customHeight="1" spans="1:2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ht="22" customHeight="1" spans="1:2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ht="22" customHeight="1" spans="1:2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ht="22" customHeight="1" spans="1:2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ht="22" customHeight="1" spans="1:2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 ht="22" customHeight="1" spans="1:2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ht="22" customHeight="1" spans="1:2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 ht="22" customHeight="1" spans="1:2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ht="22" customHeight="1" spans="1:2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ht="22" customHeight="1" spans="1:2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ht="22" customHeight="1" spans="1:2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 ht="22" customHeight="1" spans="1:2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r="65" ht="22" customHeight="1" spans="1:2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ht="22" customHeight="1" spans="1:2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ht="22" customHeight="1" spans="1:2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ht="22" customHeight="1" spans="1:2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ht="22" customHeight="1" spans="1:2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 ht="22" customHeight="1" spans="1:2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  <row r="71" ht="22" customHeight="1" spans="1:2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r="72" ht="22" customHeight="1" spans="1:2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</row>
    <row r="73" ht="22" customHeight="1" spans="1:2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ht="22" customHeight="1" spans="1:2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ht="22" customHeight="1" spans="1:2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 ht="22" customHeight="1" spans="1:2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 ht="22" customHeight="1" spans="1:2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 ht="22" customHeight="1" spans="1:2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r="79" ht="22" customHeight="1" spans="1:2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ht="22" customHeight="1" spans="1:2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 ht="22" customHeight="1" spans="1:2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 ht="22" customHeight="1" spans="1:2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 ht="22" customHeight="1" spans="1:2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 ht="22" customHeight="1" spans="1:2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r="85" ht="22" customHeight="1" spans="1:2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 ht="22" customHeight="1" spans="1:2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ht="22" customHeight="1" spans="1:2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</row>
    <row r="88" ht="22" customHeight="1" spans="1:2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</row>
    <row r="89" ht="22" customHeight="1" spans="1:2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r="90" spans="1:2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</row>
  </sheetData>
  <mergeCells count="4">
    <mergeCell ref="A1:U1"/>
    <mergeCell ref="A2:U2"/>
    <mergeCell ref="B5:J5"/>
    <mergeCell ref="B15:K15"/>
  </mergeCells>
  <dataValidations count="3">
    <dataValidation type="list" sqref="F3">
      <formula1>"全部,大润发,盒马,华润,沃尔玛,永辉,天虹,比优特,家得福"</formula1>
    </dataValidation>
    <dataValidation type="list" sqref="I3">
      <formula1>"全部,华东,华南,华北,华中,西北,东北"</formula1>
    </dataValidation>
    <dataValidation type="list" sqref="L3">
      <formula1>"全部,上海,江苏,广东,北京,湖北,浙江,黑龙江,天津"</formula1>
    </dataValidation>
  </dataValidation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0"/>
  <sheetViews>
    <sheetView showGridLines="0" workbookViewId="0">
      <pane ySplit="5" topLeftCell="A6" activePane="bottomLeft" state="frozen"/>
      <selection/>
      <selection pane="bottomLeft" activeCell="A1" sqref="A1:U1"/>
    </sheetView>
  </sheetViews>
  <sheetFormatPr defaultColWidth="9" defaultRowHeight="13.5"/>
  <cols>
    <col min="1" max="1" width="4" customWidth="1"/>
    <col min="2" max="4" width="18" customWidth="1"/>
    <col min="5" max="6" width="20" customWidth="1"/>
    <col min="7" max="10" width="16" customWidth="1"/>
    <col min="11" max="21" width="14" customWidth="1"/>
  </cols>
  <sheetData>
    <row r="1" ht="22" customHeight="1" spans="1:21">
      <c r="A1" s="6" t="s">
        <v>123</v>
      </c>
    </row>
    <row r="2" ht="22" customHeight="1" spans="1:21">
      <c r="A2" s="7" t="s">
        <v>124</v>
      </c>
    </row>
    <row r="3" ht="22" customHeight="1" spans="1:21">
      <c r="A3" s="8"/>
      <c r="B3" s="9" t="s">
        <v>2</v>
      </c>
      <c r="C3" s="10">
        <f>MAX(销售明细!A2:A500)</f>
        <v>46172</v>
      </c>
      <c r="D3" s="8"/>
      <c r="E3" s="9" t="s">
        <v>3</v>
      </c>
      <c r="F3" s="11" t="s">
        <v>4</v>
      </c>
      <c r="G3" s="8"/>
      <c r="H3" s="9" t="s">
        <v>5</v>
      </c>
      <c r="I3" s="11" t="s">
        <v>4</v>
      </c>
      <c r="J3" s="8"/>
      <c r="K3" s="9" t="s">
        <v>69</v>
      </c>
      <c r="L3" s="11" t="s">
        <v>4</v>
      </c>
      <c r="M3" s="8"/>
      <c r="N3" s="8"/>
      <c r="O3" s="8"/>
      <c r="P3" s="8"/>
      <c r="Q3" s="8"/>
      <c r="R3" s="8"/>
      <c r="S3" s="8"/>
      <c r="T3" s="8"/>
      <c r="U3" s="8"/>
    </row>
    <row r="4" ht="22" customHeight="1" spans="1:2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ht="22" customHeight="1" spans="1:21">
      <c r="A5" s="8"/>
      <c r="B5" s="12" t="s">
        <v>125</v>
      </c>
      <c r="C5" s="13"/>
      <c r="D5" s="13"/>
      <c r="E5" s="13"/>
      <c r="F5" s="13"/>
      <c r="G5" s="13"/>
      <c r="H5" s="13"/>
      <c r="I5" s="13"/>
      <c r="J5" s="14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ht="22" customHeight="1" spans="1:21">
      <c r="A6" s="8"/>
      <c r="B6" s="15" t="s">
        <v>5</v>
      </c>
      <c r="C6" s="15" t="s">
        <v>84</v>
      </c>
      <c r="D6" s="15" t="s">
        <v>85</v>
      </c>
      <c r="E6" s="15" t="s">
        <v>41</v>
      </c>
      <c r="F6" s="15" t="s">
        <v>126</v>
      </c>
      <c r="G6" s="15" t="s">
        <v>127</v>
      </c>
      <c r="H6" s="15" t="s">
        <v>128</v>
      </c>
      <c r="I6" s="15" t="s">
        <v>129</v>
      </c>
      <c r="J6" s="15" t="s">
        <v>130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ht="22" customHeight="1" spans="1:21">
      <c r="A7" s="8"/>
      <c r="B7" s="16" t="s">
        <v>131</v>
      </c>
      <c r="C7" s="16" t="s">
        <v>87</v>
      </c>
      <c r="D7" s="16" t="s">
        <v>88</v>
      </c>
      <c r="E7" s="17">
        <f>SUMPRODUCT((库存明细!$A$2:$A$500=$C$3)*--((($F$3="全部")+(库存明细!$B$2:$B$500=$F$3))&gt;0)*--((($I$3="全部")+(库存明细!$C$2:$C$500=$I$3))&gt;0)*--((($L$3="全部")+(库存明细!$D$2:$D$500=$L$3))&gt;0)*--((库存明细!$C$2:$C$500=B7)&gt;0)*--((库存明细!$H$2:$H$500=C7)&gt;0)*库存明细!$J$2:$J$500)</f>
        <v>181584</v>
      </c>
      <c r="F7" s="17">
        <f>SUMPRODUCT((库存明细!$A$2:$A$500=$C$3)*--((($F$3="全部")+(库存明细!$B$2:$B$500=$F$3))&gt;0)*--((($I$3="全部")+(库存明细!$C$2:$C$500=$I$3))&gt;0)*--((($L$3="全部")+(库存明细!$D$2:$D$500=$L$3))&gt;0)*--((库存明细!$C$2:$C$500=B7)&gt;0)*--((库存明细!$H$2:$H$500=C7)&gt;0)*库存明细!$M$2:$M$500)</f>
        <v>22802</v>
      </c>
      <c r="G7" s="17">
        <f t="shared" ref="G7:G12" si="0">IFERROR(E7/F7,"")</f>
        <v>7.96351197263398</v>
      </c>
      <c r="H7" s="17">
        <f>COUNTIFS(库存明细!$A$2:$A$500,$C$3,库存明细!$C$2:$C$500,B7,库存明细!$H$2:$H$500,C7,库存明细!$J$2:$J$500,"&gt;0")</f>
        <v>1</v>
      </c>
      <c r="I7" s="17">
        <f>COUNTIFS(销售明细!$A$2:$A$500,$C$3,销售明细!$C$2:$C$500,B7,销售明细!$H$2:$H$500,C7,销售明细!$N$2:$N$500,"&gt;0")</f>
        <v>1</v>
      </c>
      <c r="J7" s="16" t="str">
        <f t="shared" ref="J7:J12" si="1">IF(G7="","无动销",IF(G7&gt;60,"高风险","正常"))</f>
        <v>正常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ht="22" customHeight="1" spans="1:21">
      <c r="A8" s="8"/>
      <c r="B8" s="16" t="s">
        <v>132</v>
      </c>
      <c r="C8" s="16" t="s">
        <v>89</v>
      </c>
      <c r="D8" s="16" t="s">
        <v>90</v>
      </c>
      <c r="E8" s="17">
        <f>SUMPRODUCT((库存明细!$A$2:$A$500=$C$3)*--((($F$3="全部")+(库存明细!$B$2:$B$500=$F$3))&gt;0)*--((($I$3="全部")+(库存明细!$C$2:$C$500=$I$3))&gt;0)*--((($L$3="全部")+(库存明细!$D$2:$D$500=$L$3))&gt;0)*--((库存明细!$C$2:$C$500=B8)&gt;0)*--((库存明细!$H$2:$H$500=C8)&gt;0)*库存明细!$J$2:$J$500)</f>
        <v>181584</v>
      </c>
      <c r="F8" s="17">
        <f>SUMPRODUCT((库存明细!$A$2:$A$500=$C$3)*--((($F$3="全部")+(库存明细!$B$2:$B$500=$F$3))&gt;0)*--((($I$3="全部")+(库存明细!$C$2:$C$500=$I$3))&gt;0)*--((($L$3="全部")+(库存明细!$D$2:$D$500=$L$3))&gt;0)*--((库存明细!$C$2:$C$500=B8)&gt;0)*--((库存明细!$H$2:$H$500=C8)&gt;0)*库存明细!$M$2:$M$500)</f>
        <v>22802</v>
      </c>
      <c r="G8" s="17">
        <f t="shared" si="0"/>
        <v>7.96351197263398</v>
      </c>
      <c r="H8" s="17">
        <f>COUNTIFS(库存明细!$A$2:$A$500,$C$3,库存明细!$C$2:$C$500,B8,库存明细!$H$2:$H$500,C8,库存明细!$J$2:$J$500,"&gt;0")</f>
        <v>1</v>
      </c>
      <c r="I8" s="17">
        <f>COUNTIFS(销售明细!$A$2:$A$500,$C$3,销售明细!$C$2:$C$500,B8,销售明细!$H$2:$H$500,C8,销售明细!$N$2:$N$500,"&gt;0")</f>
        <v>0</v>
      </c>
      <c r="J8" s="16" t="str">
        <f t="shared" si="1"/>
        <v>正常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ht="22" customHeight="1" spans="1:21">
      <c r="A9" s="8"/>
      <c r="B9" s="16" t="s">
        <v>132</v>
      </c>
      <c r="C9" s="16" t="s">
        <v>91</v>
      </c>
      <c r="D9" s="16" t="s">
        <v>92</v>
      </c>
      <c r="E9" s="17">
        <f>SUMPRODUCT((库存明细!$A$2:$A$500=$C$3)*--((($F$3="全部")+(库存明细!$B$2:$B$500=$F$3))&gt;0)*--((($I$3="全部")+(库存明细!$C$2:$C$500=$I$3))&gt;0)*--((($L$3="全部")+(库存明细!$D$2:$D$500=$L$3))&gt;0)*--((库存明细!$C$2:$C$500=B9)&gt;0)*--((库存明细!$H$2:$H$500=C9)&gt;0)*库存明细!$J$2:$J$500)</f>
        <v>181584</v>
      </c>
      <c r="F9" s="17">
        <f>SUMPRODUCT((库存明细!$A$2:$A$500=$C$3)*--((($F$3="全部")+(库存明细!$B$2:$B$500=$F$3))&gt;0)*--((($I$3="全部")+(库存明细!$C$2:$C$500=$I$3))&gt;0)*--((($L$3="全部")+(库存明细!$D$2:$D$500=$L$3))&gt;0)*--((库存明细!$C$2:$C$500=B9)&gt;0)*--((库存明细!$H$2:$H$500=C9)&gt;0)*库存明细!$M$2:$M$500)</f>
        <v>22802</v>
      </c>
      <c r="G9" s="17">
        <f t="shared" si="0"/>
        <v>7.96351197263398</v>
      </c>
      <c r="H9" s="17">
        <f>COUNTIFS(库存明细!$A$2:$A$500,$C$3,库存明细!$C$2:$C$500,B9,库存明细!$H$2:$H$500,C9,库存明细!$J$2:$J$500,"&gt;0")</f>
        <v>1</v>
      </c>
      <c r="I9" s="17">
        <f>COUNTIFS(销售明细!$A$2:$A$500,$C$3,销售明细!$C$2:$C$500,B9,销售明细!$H$2:$H$500,C9,销售明细!$N$2:$N$500,"&gt;0")</f>
        <v>0</v>
      </c>
      <c r="J9" s="16" t="str">
        <f t="shared" si="1"/>
        <v>正常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ht="22" customHeight="1" spans="1:21">
      <c r="A10" s="8"/>
      <c r="B10" s="16" t="s">
        <v>133</v>
      </c>
      <c r="C10" s="16" t="s">
        <v>134</v>
      </c>
      <c r="D10" s="16" t="s">
        <v>135</v>
      </c>
      <c r="E10" s="17">
        <f>SUMPRODUCT((库存明细!$A$2:$A$500=$C$3)*--((($F$3="全部")+(库存明细!$B$2:$B$500=$F$3))&gt;0)*--((($I$3="全部")+(库存明细!$C$2:$C$500=$I$3))&gt;0)*--((($L$3="全部")+(库存明细!$D$2:$D$500=$L$3))&gt;0)*--((库存明细!$C$2:$C$500=B10)&gt;0)*--((库存明细!$H$2:$H$500=C10)&gt;0)*库存明细!$J$2:$J$500)</f>
        <v>181584</v>
      </c>
      <c r="F10" s="17">
        <f>SUMPRODUCT((库存明细!$A$2:$A$500=$C$3)*--((($F$3="全部")+(库存明细!$B$2:$B$500=$F$3))&gt;0)*--((($I$3="全部")+(库存明细!$C$2:$C$500=$I$3))&gt;0)*--((($L$3="全部")+(库存明细!$D$2:$D$500=$L$3))&gt;0)*--((库存明细!$C$2:$C$500=B10)&gt;0)*--((库存明细!$H$2:$H$500=C10)&gt;0)*库存明细!$M$2:$M$500)</f>
        <v>22802</v>
      </c>
      <c r="G10" s="17">
        <f t="shared" si="0"/>
        <v>7.96351197263398</v>
      </c>
      <c r="H10" s="17">
        <f>COUNTIFS(库存明细!$A$2:$A$500,$C$3,库存明细!$C$2:$C$500,B10,库存明细!$H$2:$H$500,C10,库存明细!$J$2:$J$500,"&gt;0")</f>
        <v>1</v>
      </c>
      <c r="I10" s="17">
        <f>COUNTIFS(销售明细!$A$2:$A$500,$C$3,销售明细!$C$2:$C$500,B10,销售明细!$H$2:$H$500,C10,销售明细!$N$2:$N$500,"&gt;0")</f>
        <v>0</v>
      </c>
      <c r="J10" s="16" t="str">
        <f t="shared" si="1"/>
        <v>正常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ht="22" customHeight="1" spans="1:21">
      <c r="A11" s="8"/>
      <c r="B11" s="16" t="s">
        <v>136</v>
      </c>
      <c r="C11" s="16" t="s">
        <v>93</v>
      </c>
      <c r="D11" s="16" t="s">
        <v>94</v>
      </c>
      <c r="E11" s="17">
        <f>SUMPRODUCT((库存明细!$A$2:$A$500=$C$3)*--((($F$3="全部")+(库存明细!$B$2:$B$500=$F$3))&gt;0)*--((($I$3="全部")+(库存明细!$C$2:$C$500=$I$3))&gt;0)*--((($L$3="全部")+(库存明细!$D$2:$D$500=$L$3))&gt;0)*--((库存明细!$C$2:$C$500=B11)&gt;0)*--((库存明细!$H$2:$H$500=C11)&gt;0)*库存明细!$J$2:$J$500)</f>
        <v>181584</v>
      </c>
      <c r="F11" s="17">
        <f>SUMPRODUCT((库存明细!$A$2:$A$500=$C$3)*--((($F$3="全部")+(库存明细!$B$2:$B$500=$F$3))&gt;0)*--((($I$3="全部")+(库存明细!$C$2:$C$500=$I$3))&gt;0)*--((($L$3="全部")+(库存明细!$D$2:$D$500=$L$3))&gt;0)*--((库存明细!$C$2:$C$500=B11)&gt;0)*--((库存明细!$H$2:$H$500=C11)&gt;0)*库存明细!$M$2:$M$500)</f>
        <v>22802</v>
      </c>
      <c r="G11" s="17">
        <f t="shared" si="0"/>
        <v>7.96351197263398</v>
      </c>
      <c r="H11" s="17">
        <f>COUNTIFS(库存明细!$A$2:$A$500,$C$3,库存明细!$C$2:$C$500,B11,库存明细!$H$2:$H$500,C11,库存明细!$J$2:$J$500,"&gt;0")</f>
        <v>1</v>
      </c>
      <c r="I11" s="17">
        <f>COUNTIFS(销售明细!$A$2:$A$500,$C$3,销售明细!$C$2:$C$500,B11,销售明细!$H$2:$H$500,C11,销售明细!$N$2:$N$500,"&gt;0")</f>
        <v>1</v>
      </c>
      <c r="J11" s="16" t="str">
        <f t="shared" si="1"/>
        <v>正常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ht="22" customHeight="1" spans="1:21">
      <c r="A12" s="8"/>
      <c r="B12" s="16" t="s">
        <v>131</v>
      </c>
      <c r="C12" s="16" t="s">
        <v>97</v>
      </c>
      <c r="D12" s="16" t="s">
        <v>98</v>
      </c>
      <c r="E12" s="17">
        <f>SUMPRODUCT((库存明细!$A$2:$A$500=$C$3)*--((($F$3="全部")+(库存明细!$B$2:$B$500=$F$3))&gt;0)*--((($I$3="全部")+(库存明细!$C$2:$C$500=$I$3))&gt;0)*--((($L$3="全部")+(库存明细!$D$2:$D$500=$L$3))&gt;0)*--((库存明细!$C$2:$C$500=B12)&gt;0)*--((库存明细!$H$2:$H$500=C12)&gt;0)*库存明细!$J$2:$J$500)</f>
        <v>181584</v>
      </c>
      <c r="F12" s="17">
        <f>SUMPRODUCT((库存明细!$A$2:$A$500=$C$3)*--((($F$3="全部")+(库存明细!$B$2:$B$500=$F$3))&gt;0)*--((($I$3="全部")+(库存明细!$C$2:$C$500=$I$3))&gt;0)*--((($L$3="全部")+(库存明细!$D$2:$D$500=$L$3))&gt;0)*--((库存明细!$C$2:$C$500=B12)&gt;0)*--((库存明细!$H$2:$H$500=C12)&gt;0)*库存明细!$M$2:$M$500)</f>
        <v>22802</v>
      </c>
      <c r="G12" s="17">
        <f t="shared" si="0"/>
        <v>7.96351197263398</v>
      </c>
      <c r="H12" s="17">
        <f>COUNTIFS(库存明细!$A$2:$A$500,$C$3,库存明细!$C$2:$C$500,B12,库存明细!$H$2:$H$500,C12,库存明细!$J$2:$J$500,"&gt;0")</f>
        <v>1</v>
      </c>
      <c r="I12" s="17">
        <f>COUNTIFS(销售明细!$A$2:$A$500,$C$3,销售明细!$C$2:$C$500,B12,销售明细!$H$2:$H$500,C12,销售明细!$N$2:$N$500,"&gt;0")</f>
        <v>0</v>
      </c>
      <c r="J12" s="16" t="str">
        <f t="shared" si="1"/>
        <v>正常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ht="22" customHeight="1" spans="1:2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ht="22" customHeight="1" spans="1:2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ht="22" customHeight="1" spans="1:21">
      <c r="A15" s="8"/>
      <c r="B15" s="12" t="s">
        <v>137</v>
      </c>
      <c r="C15" s="13"/>
      <c r="D15" s="13"/>
      <c r="E15" s="13"/>
      <c r="F15" s="13"/>
      <c r="G15" s="13"/>
      <c r="H15" s="13"/>
      <c r="I15" s="13"/>
      <c r="J15" s="14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ht="22" customHeight="1" spans="1:21">
      <c r="A16" s="8"/>
      <c r="B16" s="15" t="s">
        <v>108</v>
      </c>
      <c r="C16" s="15" t="s">
        <v>3</v>
      </c>
      <c r="D16" s="15" t="s">
        <v>5</v>
      </c>
      <c r="E16" s="15" t="s">
        <v>69</v>
      </c>
      <c r="F16" s="15" t="s">
        <v>109</v>
      </c>
      <c r="G16" s="15" t="s">
        <v>110</v>
      </c>
      <c r="H16" s="15" t="s">
        <v>84</v>
      </c>
      <c r="I16" s="15" t="s">
        <v>85</v>
      </c>
      <c r="J16" s="15" t="s">
        <v>41</v>
      </c>
      <c r="K16" s="15" t="s">
        <v>126</v>
      </c>
      <c r="L16" s="15" t="s">
        <v>43</v>
      </c>
      <c r="M16" s="15" t="s">
        <v>138</v>
      </c>
      <c r="N16" s="8"/>
      <c r="O16" s="8"/>
      <c r="P16" s="8"/>
      <c r="Q16" s="8"/>
      <c r="R16" s="8"/>
      <c r="S16" s="8"/>
      <c r="T16" s="8"/>
      <c r="U16" s="8"/>
    </row>
    <row r="17" ht="22" customHeight="1" spans="1:2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ht="22" customHeight="1" spans="1:21">
      <c r="A18" s="8"/>
      <c r="B18" s="16">
        <f>库存明细!A2</f>
        <v>46172</v>
      </c>
      <c r="C18" s="16" t="str">
        <f>库存明细!B2</f>
        <v>大润发</v>
      </c>
      <c r="D18" s="16" t="str">
        <f>库存明细!C2</f>
        <v>华东</v>
      </c>
      <c r="E18" s="16" t="str">
        <f>库存明细!D2</f>
        <v>上海</v>
      </c>
      <c r="F18" s="16" t="str">
        <f>库存明细!E2</f>
        <v>1001</v>
      </c>
      <c r="G18" s="16" t="str">
        <f>库存明细!F2</f>
        <v>闸北店</v>
      </c>
      <c r="H18" s="16" t="str">
        <f>库存明细!H2</f>
        <v>4354168</v>
      </c>
      <c r="I18" s="16" t="str">
        <f>库存明细!I2</f>
        <v>脱骨侠无骨鸡爪(柠檬味)</v>
      </c>
      <c r="J18" s="17">
        <f>库存明细!J2</f>
        <v>15089</v>
      </c>
      <c r="K18" s="17">
        <f>库存明细!M2</f>
        <v>620</v>
      </c>
      <c r="L18" s="17">
        <f>库存明细!N2</f>
        <v>24.3370967741935</v>
      </c>
      <c r="M18" s="16" t="str">
        <f>库存明细!O2</f>
        <v>N</v>
      </c>
      <c r="N18" s="8"/>
      <c r="O18" s="8"/>
      <c r="P18" s="8"/>
      <c r="Q18" s="8"/>
      <c r="R18" s="8"/>
      <c r="S18" s="8"/>
      <c r="T18" s="8"/>
      <c r="U18" s="8"/>
    </row>
    <row r="19" ht="22" customHeight="1" spans="1:21">
      <c r="A19" s="8"/>
      <c r="B19" s="16">
        <f>库存明细!A3</f>
        <v>46172</v>
      </c>
      <c r="C19" s="16" t="str">
        <f>库存明细!B3</f>
        <v>大润发</v>
      </c>
      <c r="D19" s="16" t="str">
        <f>库存明细!C3</f>
        <v>华南</v>
      </c>
      <c r="E19" s="16" t="str">
        <f>库存明细!D3</f>
        <v>广东</v>
      </c>
      <c r="F19" s="16" t="str">
        <f>库存明细!E3</f>
        <v>5001</v>
      </c>
      <c r="G19" s="16" t="str">
        <f>库存明细!F3</f>
        <v>广州天河店</v>
      </c>
      <c r="H19" s="16" t="str">
        <f>库存明细!H3</f>
        <v>4502138</v>
      </c>
      <c r="I19" s="16" t="str">
        <f>库存明细!I3</f>
        <v>脱骨侠虎皮凤爪(白松露味)</v>
      </c>
      <c r="J19" s="17">
        <f>库存明细!J3</f>
        <v>13619</v>
      </c>
      <c r="K19" s="17">
        <f>库存明细!M3</f>
        <v>210</v>
      </c>
      <c r="L19" s="17">
        <f>库存明细!N3</f>
        <v>64.852380952381</v>
      </c>
      <c r="M19" s="16" t="str">
        <f>库存明细!O3</f>
        <v>Y</v>
      </c>
      <c r="N19" s="8"/>
      <c r="O19" s="8"/>
      <c r="P19" s="8"/>
      <c r="Q19" s="8"/>
      <c r="R19" s="8"/>
      <c r="S19" s="8"/>
      <c r="T19" s="8"/>
      <c r="U19" s="8"/>
    </row>
    <row r="20" ht="22" customHeight="1" spans="1:21">
      <c r="A20" s="8"/>
      <c r="B20" s="16">
        <f>库存明细!A4</f>
        <v>46172</v>
      </c>
      <c r="C20" s="16" t="str">
        <f>库存明细!B4</f>
        <v>沃尔玛</v>
      </c>
      <c r="D20" s="16" t="str">
        <f>库存明细!C4</f>
        <v>华南</v>
      </c>
      <c r="E20" s="16" t="str">
        <f>库存明细!D4</f>
        <v>广东</v>
      </c>
      <c r="F20" s="16" t="str">
        <f>库存明细!E4</f>
        <v>101</v>
      </c>
      <c r="G20" s="16" t="str">
        <f>库存明细!F4</f>
        <v>沃尔玛广州天河店</v>
      </c>
      <c r="H20" s="16" t="str">
        <f>库存明细!H4</f>
        <v>25354863</v>
      </c>
      <c r="I20" s="16" t="str">
        <f>库存明细!I4</f>
        <v>常温脱骨侠无骨鸡爪柠檬</v>
      </c>
      <c r="J20" s="17">
        <f>库存明细!J4</f>
        <v>30943</v>
      </c>
      <c r="K20" s="17">
        <f>库存明细!M4</f>
        <v>1408</v>
      </c>
      <c r="L20" s="17">
        <f>库存明细!N4</f>
        <v>21.9765625</v>
      </c>
      <c r="M20" s="16" t="str">
        <f>库存明细!O4</f>
        <v>N</v>
      </c>
      <c r="N20" s="8"/>
      <c r="O20" s="8"/>
      <c r="P20" s="8"/>
      <c r="Q20" s="8"/>
      <c r="R20" s="8"/>
      <c r="S20" s="8"/>
      <c r="T20" s="8"/>
      <c r="U20" s="8"/>
    </row>
    <row r="21" ht="22" customHeight="1" spans="1:21">
      <c r="A21" s="8"/>
      <c r="B21" s="16">
        <f>库存明细!A5</f>
        <v>46172</v>
      </c>
      <c r="C21" s="16" t="str">
        <f>库存明细!B5</f>
        <v>华润</v>
      </c>
      <c r="D21" s="16" t="str">
        <f>库存明细!C5</f>
        <v>华北</v>
      </c>
      <c r="E21" s="16" t="str">
        <f>库存明细!D5</f>
        <v>北京</v>
      </c>
      <c r="F21" s="16" t="str">
        <f>库存明细!E5</f>
        <v>204392</v>
      </c>
      <c r="G21" s="16" t="str">
        <f>库存明细!F5</f>
        <v>皇姑店</v>
      </c>
      <c r="H21" s="16" t="str">
        <f>库存明细!H5</f>
        <v>5150673</v>
      </c>
      <c r="I21" s="16" t="str">
        <f>库存明细!I5</f>
        <v>脱骨侠无骨鸡爪(柠檬味)158g</v>
      </c>
      <c r="J21" s="17">
        <f>库存明细!J5</f>
        <v>5233</v>
      </c>
      <c r="K21" s="17">
        <f>库存明细!M5</f>
        <v>245</v>
      </c>
      <c r="L21" s="17">
        <f>库存明细!N5</f>
        <v>21.3591836734694</v>
      </c>
      <c r="M21" s="16" t="str">
        <f>库存明细!O5</f>
        <v>N</v>
      </c>
      <c r="N21" s="8"/>
      <c r="O21" s="8"/>
      <c r="P21" s="8"/>
      <c r="Q21" s="8"/>
      <c r="R21" s="8"/>
      <c r="S21" s="8"/>
      <c r="T21" s="8"/>
      <c r="U21" s="8"/>
    </row>
    <row r="22" ht="22" customHeight="1" spans="1:21">
      <c r="A22" s="8"/>
      <c r="B22" s="16">
        <f>库存明细!A6</f>
        <v>46172</v>
      </c>
      <c r="C22" s="16" t="str">
        <f>库存明细!B6</f>
        <v>盒马</v>
      </c>
      <c r="D22" s="16" t="str">
        <f>库存明细!C6</f>
        <v>华中</v>
      </c>
      <c r="E22" s="16" t="str">
        <f>库存明细!D6</f>
        <v>湖北</v>
      </c>
      <c r="F22" s="16" t="str">
        <f>库存明细!E6</f>
        <v>HM001</v>
      </c>
      <c r="G22" s="16" t="str">
        <f>库存明细!F6</f>
        <v>武汉珞狮路店</v>
      </c>
      <c r="H22" s="16" t="str">
        <f>库存明细!H6</f>
        <v>431448153</v>
      </c>
      <c r="I22" s="16" t="str">
        <f>库存明细!I6</f>
        <v>盒马工坊 蒜香无骨鸡爪 230g</v>
      </c>
      <c r="J22" s="17">
        <f>库存明细!J6</f>
        <v>94942</v>
      </c>
      <c r="K22" s="17">
        <f>库存明细!M6</f>
        <v>20146</v>
      </c>
      <c r="L22" s="17">
        <f>库存明细!N6</f>
        <v>4.71269730963963</v>
      </c>
      <c r="M22" s="16" t="str">
        <f>库存明细!O6</f>
        <v>N</v>
      </c>
      <c r="N22" s="8"/>
      <c r="O22" s="8"/>
      <c r="P22" s="8"/>
      <c r="Q22" s="8"/>
      <c r="R22" s="8"/>
      <c r="S22" s="8"/>
      <c r="T22" s="8"/>
      <c r="U22" s="8"/>
    </row>
    <row r="23" ht="22" customHeight="1" spans="1:21">
      <c r="A23" s="8"/>
      <c r="B23" s="16">
        <f>库存明细!A7</f>
        <v>46172</v>
      </c>
      <c r="C23" s="16" t="str">
        <f>库存明细!B7</f>
        <v>永辉</v>
      </c>
      <c r="D23" s="16" t="str">
        <f>库存明细!C7</f>
        <v>华东</v>
      </c>
      <c r="E23" s="16" t="str">
        <f>库存明细!D7</f>
        <v>浙江</v>
      </c>
      <c r="F23" s="16" t="str">
        <f>库存明细!E7</f>
        <v>9626</v>
      </c>
      <c r="G23" s="16" t="str">
        <f>库存明细!F7</f>
        <v>滨江区龙湖天街店</v>
      </c>
      <c r="H23" s="16" t="str">
        <f>库存明细!H7</f>
        <v>1830795</v>
      </c>
      <c r="I23" s="16" t="str">
        <f>库存明细!I7</f>
        <v>脱骨侠蒜香酸甜辣无骨鸡爪780g</v>
      </c>
      <c r="J23" s="17">
        <f>库存明细!J7</f>
        <v>74</v>
      </c>
      <c r="K23" s="17">
        <f>库存明细!M7</f>
        <v>7</v>
      </c>
      <c r="L23" s="17">
        <f>库存明细!N7</f>
        <v>10.5714285714286</v>
      </c>
      <c r="M23" s="16" t="str">
        <f>库存明细!O7</f>
        <v>N</v>
      </c>
      <c r="N23" s="8"/>
      <c r="O23" s="8"/>
      <c r="P23" s="8"/>
      <c r="Q23" s="8"/>
      <c r="R23" s="8"/>
      <c r="S23" s="8"/>
      <c r="T23" s="8"/>
      <c r="U23" s="8"/>
    </row>
    <row r="24" ht="22" customHeight="1" spans="1:21">
      <c r="A24" s="8"/>
      <c r="B24" s="16">
        <f>库存明细!A8</f>
        <v>46172</v>
      </c>
      <c r="C24" s="16" t="str">
        <f>库存明细!B8</f>
        <v>天虹</v>
      </c>
      <c r="D24" s="16" t="str">
        <f>库存明细!C8</f>
        <v>华南</v>
      </c>
      <c r="E24" s="16" t="str">
        <f>库存明细!D8</f>
        <v>广东</v>
      </c>
      <c r="F24" s="16" t="str">
        <f>库存明细!E8</f>
        <v>104</v>
      </c>
      <c r="G24" s="16" t="str">
        <f>库存明细!F8</f>
        <v>深圳创业天虹</v>
      </c>
      <c r="H24" s="16" t="str">
        <f>库存明细!H8</f>
        <v>v000110869</v>
      </c>
      <c r="I24" s="16" t="str">
        <f>库存明细!I8</f>
        <v>脱骨侠双椒无骨鸭掌</v>
      </c>
      <c r="J24" s="17">
        <f>库存明细!J8</f>
        <v>5444</v>
      </c>
      <c r="K24" s="17">
        <f>库存明细!M8</f>
        <v>129</v>
      </c>
      <c r="L24" s="17">
        <f>库存明细!N8</f>
        <v>42.2015503875969</v>
      </c>
      <c r="M24" s="16" t="str">
        <f>库存明细!O8</f>
        <v>N</v>
      </c>
      <c r="N24" s="8"/>
      <c r="O24" s="8"/>
      <c r="P24" s="8"/>
      <c r="Q24" s="8"/>
      <c r="R24" s="8"/>
      <c r="S24" s="8"/>
      <c r="T24" s="8"/>
      <c r="U24" s="8"/>
    </row>
    <row r="25" ht="22" customHeight="1" spans="1:21">
      <c r="A25" s="8"/>
      <c r="B25" s="16">
        <f>库存明细!A9</f>
        <v>46172</v>
      </c>
      <c r="C25" s="16" t="str">
        <f>库存明细!B9</f>
        <v>比优特</v>
      </c>
      <c r="D25" s="16" t="str">
        <f>库存明细!C9</f>
        <v>东北</v>
      </c>
      <c r="E25" s="16" t="str">
        <f>库存明细!D9</f>
        <v>黑龙江</v>
      </c>
      <c r="F25" s="16" t="str">
        <f>库存明细!E9</f>
        <v>2201</v>
      </c>
      <c r="G25" s="16" t="str">
        <f>库存明细!F9</f>
        <v>麓林山店</v>
      </c>
      <c r="H25" s="16" t="str">
        <f>库存明细!H9</f>
        <v>1156752</v>
      </c>
      <c r="I25" s="16" t="str">
        <f>库存明细!I9</f>
        <v>脱骨侠无骨鸡爪蒜香酸甜辣780g</v>
      </c>
      <c r="J25" s="17">
        <f>库存明细!J9</f>
        <v>15925</v>
      </c>
      <c r="K25" s="17">
        <f>库存明细!M9</f>
        <v>31</v>
      </c>
      <c r="L25" s="17">
        <f>库存明细!N9</f>
        <v>513.709677419355</v>
      </c>
      <c r="M25" s="16" t="str">
        <f>库存明细!O9</f>
        <v>Y</v>
      </c>
      <c r="N25" s="8"/>
      <c r="O25" s="8"/>
      <c r="P25" s="8"/>
      <c r="Q25" s="8"/>
      <c r="R25" s="8"/>
      <c r="S25" s="8"/>
      <c r="T25" s="8"/>
      <c r="U25" s="8"/>
    </row>
    <row r="26" ht="22" customHeight="1" spans="1:21">
      <c r="A26" s="8"/>
      <c r="B26" s="16">
        <f>库存明细!A10</f>
        <v>46172</v>
      </c>
      <c r="C26" s="16" t="str">
        <f>库存明细!B10</f>
        <v>家得福</v>
      </c>
      <c r="D26" s="16" t="str">
        <f>库存明细!C10</f>
        <v>华东</v>
      </c>
      <c r="E26" s="16" t="str">
        <f>库存明细!D10</f>
        <v>江苏</v>
      </c>
      <c r="F26" s="16" t="str">
        <f>库存明细!E10</f>
        <v>1001</v>
      </c>
      <c r="G26" s="16" t="str">
        <f>库存明细!F10</f>
        <v>家得福海棠店</v>
      </c>
      <c r="H26" s="16" t="str">
        <f>库存明细!H10</f>
        <v>10081319</v>
      </c>
      <c r="I26" s="16" t="str">
        <f>库存明细!I10</f>
        <v>脱骨侠酸辣柠檬无骨鸡爪780g</v>
      </c>
      <c r="J26" s="17">
        <f>库存明细!J10</f>
        <v>315</v>
      </c>
      <c r="K26" s="17">
        <f>库存明细!M10</f>
        <v>6</v>
      </c>
      <c r="L26" s="17">
        <f>库存明细!N10</f>
        <v>52.5</v>
      </c>
      <c r="M26" s="16" t="str">
        <f>库存明细!O10</f>
        <v>N</v>
      </c>
      <c r="N26" s="8"/>
      <c r="O26" s="8"/>
      <c r="P26" s="8"/>
      <c r="Q26" s="8"/>
      <c r="R26" s="8"/>
      <c r="S26" s="8"/>
      <c r="T26" s="8"/>
      <c r="U26" s="8"/>
    </row>
    <row r="27" ht="22" customHeight="1" spans="1:21">
      <c r="A27" s="8"/>
      <c r="B27" s="16">
        <f>库存明细!A11</f>
        <v>0</v>
      </c>
      <c r="C27" s="16">
        <f>库存明细!B11</f>
        <v>0</v>
      </c>
      <c r="D27" s="16">
        <f>库存明细!C11</f>
        <v>0</v>
      </c>
      <c r="E27" s="16">
        <f>库存明细!D11</f>
        <v>0</v>
      </c>
      <c r="F27" s="16">
        <f>库存明细!E11</f>
        <v>0</v>
      </c>
      <c r="G27" s="16">
        <f>库存明细!F11</f>
        <v>0</v>
      </c>
      <c r="H27" s="16">
        <f>库存明细!H11</f>
        <v>0</v>
      </c>
      <c r="I27" s="16">
        <f>库存明细!I11</f>
        <v>0</v>
      </c>
      <c r="J27" s="17">
        <f>库存明细!J11</f>
        <v>0</v>
      </c>
      <c r="K27" s="17">
        <f>库存明细!M11</f>
        <v>0</v>
      </c>
      <c r="L27" s="17">
        <f>库存明细!N11</f>
        <v>0</v>
      </c>
      <c r="M27" s="16">
        <f>库存明细!O11</f>
        <v>0</v>
      </c>
      <c r="N27" s="8"/>
      <c r="O27" s="8"/>
      <c r="P27" s="8"/>
      <c r="Q27" s="8"/>
      <c r="R27" s="8"/>
      <c r="S27" s="8"/>
      <c r="T27" s="8"/>
      <c r="U27" s="8"/>
    </row>
    <row r="28" ht="22" customHeight="1" spans="1:21">
      <c r="A28" s="8"/>
      <c r="B28" s="16">
        <f>库存明细!A12</f>
        <v>0</v>
      </c>
      <c r="C28" s="16">
        <f>库存明细!B12</f>
        <v>0</v>
      </c>
      <c r="D28" s="16">
        <f>库存明细!C12</f>
        <v>0</v>
      </c>
      <c r="E28" s="16">
        <f>库存明细!D12</f>
        <v>0</v>
      </c>
      <c r="F28" s="16">
        <f>库存明细!E12</f>
        <v>0</v>
      </c>
      <c r="G28" s="16">
        <f>库存明细!F12</f>
        <v>0</v>
      </c>
      <c r="H28" s="16">
        <f>库存明细!H12</f>
        <v>0</v>
      </c>
      <c r="I28" s="16">
        <f>库存明细!I12</f>
        <v>0</v>
      </c>
      <c r="J28" s="17">
        <f>库存明细!J12</f>
        <v>0</v>
      </c>
      <c r="K28" s="17">
        <f>库存明细!M12</f>
        <v>0</v>
      </c>
      <c r="L28" s="17">
        <f>库存明细!N12</f>
        <v>0</v>
      </c>
      <c r="M28" s="16">
        <f>库存明细!O12</f>
        <v>0</v>
      </c>
      <c r="N28" s="8"/>
      <c r="O28" s="8"/>
      <c r="P28" s="8"/>
      <c r="Q28" s="8"/>
      <c r="R28" s="8"/>
      <c r="S28" s="8"/>
      <c r="T28" s="8"/>
      <c r="U28" s="8"/>
    </row>
    <row r="29" ht="22" customHeight="1" spans="1:21">
      <c r="A29" s="8"/>
      <c r="B29" s="16">
        <f>库存明细!A13</f>
        <v>0</v>
      </c>
      <c r="C29" s="16">
        <f>库存明细!B13</f>
        <v>0</v>
      </c>
      <c r="D29" s="16">
        <f>库存明细!C13</f>
        <v>0</v>
      </c>
      <c r="E29" s="16">
        <f>库存明细!D13</f>
        <v>0</v>
      </c>
      <c r="F29" s="16">
        <f>库存明细!E13</f>
        <v>0</v>
      </c>
      <c r="G29" s="16">
        <f>库存明细!F13</f>
        <v>0</v>
      </c>
      <c r="H29" s="16">
        <f>库存明细!H13</f>
        <v>0</v>
      </c>
      <c r="I29" s="16">
        <f>库存明细!I13</f>
        <v>0</v>
      </c>
      <c r="J29" s="17">
        <f>库存明细!J13</f>
        <v>0</v>
      </c>
      <c r="K29" s="17">
        <f>库存明细!M13</f>
        <v>0</v>
      </c>
      <c r="L29" s="17">
        <f>库存明细!N13</f>
        <v>0</v>
      </c>
      <c r="M29" s="16">
        <f>库存明细!O13</f>
        <v>0</v>
      </c>
      <c r="N29" s="8"/>
      <c r="O29" s="8"/>
      <c r="P29" s="8"/>
      <c r="Q29" s="8"/>
      <c r="R29" s="8"/>
      <c r="S29" s="8"/>
      <c r="T29" s="8"/>
      <c r="U29" s="8"/>
    </row>
    <row r="30" ht="22" customHeight="1" spans="1:21">
      <c r="A30" s="8"/>
      <c r="B30" s="16">
        <f>库存明细!A14</f>
        <v>0</v>
      </c>
      <c r="C30" s="16">
        <f>库存明细!B14</f>
        <v>0</v>
      </c>
      <c r="D30" s="16">
        <f>库存明细!C14</f>
        <v>0</v>
      </c>
      <c r="E30" s="16">
        <f>库存明细!D14</f>
        <v>0</v>
      </c>
      <c r="F30" s="16">
        <f>库存明细!E14</f>
        <v>0</v>
      </c>
      <c r="G30" s="16">
        <f>库存明细!F14</f>
        <v>0</v>
      </c>
      <c r="H30" s="16">
        <f>库存明细!H14</f>
        <v>0</v>
      </c>
      <c r="I30" s="16">
        <f>库存明细!I14</f>
        <v>0</v>
      </c>
      <c r="J30" s="17">
        <f>库存明细!J14</f>
        <v>0</v>
      </c>
      <c r="K30" s="17">
        <f>库存明细!M14</f>
        <v>0</v>
      </c>
      <c r="L30" s="17">
        <f>库存明细!N14</f>
        <v>0</v>
      </c>
      <c r="M30" s="16">
        <f>库存明细!O14</f>
        <v>0</v>
      </c>
      <c r="N30" s="8"/>
      <c r="O30" s="8"/>
      <c r="P30" s="8"/>
      <c r="Q30" s="8"/>
      <c r="R30" s="8"/>
      <c r="S30" s="8"/>
      <c r="T30" s="8"/>
      <c r="U30" s="8"/>
    </row>
    <row r="31" ht="22" customHeight="1" spans="1:21">
      <c r="A31" s="8"/>
      <c r="B31" s="16">
        <f>库存明细!A15</f>
        <v>0</v>
      </c>
      <c r="C31" s="16">
        <f>库存明细!B15</f>
        <v>0</v>
      </c>
      <c r="D31" s="16">
        <f>库存明细!C15</f>
        <v>0</v>
      </c>
      <c r="E31" s="16">
        <f>库存明细!D15</f>
        <v>0</v>
      </c>
      <c r="F31" s="16">
        <f>库存明细!E15</f>
        <v>0</v>
      </c>
      <c r="G31" s="16">
        <f>库存明细!F15</f>
        <v>0</v>
      </c>
      <c r="H31" s="16">
        <f>库存明细!H15</f>
        <v>0</v>
      </c>
      <c r="I31" s="16">
        <f>库存明细!I15</f>
        <v>0</v>
      </c>
      <c r="J31" s="17">
        <f>库存明细!J15</f>
        <v>0</v>
      </c>
      <c r="K31" s="17">
        <f>库存明细!M15</f>
        <v>0</v>
      </c>
      <c r="L31" s="17">
        <f>库存明细!N15</f>
        <v>0</v>
      </c>
      <c r="M31" s="16">
        <f>库存明细!O15</f>
        <v>0</v>
      </c>
      <c r="N31" s="8"/>
      <c r="O31" s="8"/>
      <c r="P31" s="8"/>
      <c r="Q31" s="8"/>
      <c r="R31" s="8"/>
      <c r="S31" s="8"/>
      <c r="T31" s="8"/>
      <c r="U31" s="8"/>
    </row>
    <row r="32" ht="22" customHeight="1" spans="1:21">
      <c r="A32" s="8"/>
      <c r="B32" s="16">
        <f>库存明细!A16</f>
        <v>0</v>
      </c>
      <c r="C32" s="16">
        <f>库存明细!B16</f>
        <v>0</v>
      </c>
      <c r="D32" s="16">
        <f>库存明细!C16</f>
        <v>0</v>
      </c>
      <c r="E32" s="16">
        <f>库存明细!D16</f>
        <v>0</v>
      </c>
      <c r="F32" s="16">
        <f>库存明细!E16</f>
        <v>0</v>
      </c>
      <c r="G32" s="16">
        <f>库存明细!F16</f>
        <v>0</v>
      </c>
      <c r="H32" s="16">
        <f>库存明细!H16</f>
        <v>0</v>
      </c>
      <c r="I32" s="16">
        <f>库存明细!I16</f>
        <v>0</v>
      </c>
      <c r="J32" s="17">
        <f>库存明细!J16</f>
        <v>0</v>
      </c>
      <c r="K32" s="17">
        <f>库存明细!M16</f>
        <v>0</v>
      </c>
      <c r="L32" s="17">
        <f>库存明细!N16</f>
        <v>0</v>
      </c>
      <c r="M32" s="16">
        <f>库存明细!O16</f>
        <v>0</v>
      </c>
      <c r="N32" s="8"/>
      <c r="O32" s="8"/>
      <c r="P32" s="8"/>
      <c r="Q32" s="8"/>
      <c r="R32" s="8"/>
      <c r="S32" s="8"/>
      <c r="T32" s="8"/>
      <c r="U32" s="8"/>
    </row>
    <row r="33" ht="22" customHeight="1" spans="1:21">
      <c r="A33" s="8"/>
      <c r="B33" s="16">
        <f>库存明细!A17</f>
        <v>0</v>
      </c>
      <c r="C33" s="16">
        <f>库存明细!B17</f>
        <v>0</v>
      </c>
      <c r="D33" s="16">
        <f>库存明细!C17</f>
        <v>0</v>
      </c>
      <c r="E33" s="16">
        <f>库存明细!D17</f>
        <v>0</v>
      </c>
      <c r="F33" s="16">
        <f>库存明细!E17</f>
        <v>0</v>
      </c>
      <c r="G33" s="16">
        <f>库存明细!F17</f>
        <v>0</v>
      </c>
      <c r="H33" s="16">
        <f>库存明细!H17</f>
        <v>0</v>
      </c>
      <c r="I33" s="16">
        <f>库存明细!I17</f>
        <v>0</v>
      </c>
      <c r="J33" s="17">
        <f>库存明细!J17</f>
        <v>0</v>
      </c>
      <c r="K33" s="17">
        <f>库存明细!M17</f>
        <v>0</v>
      </c>
      <c r="L33" s="17">
        <f>库存明细!N17</f>
        <v>0</v>
      </c>
      <c r="M33" s="16">
        <f>库存明细!O17</f>
        <v>0</v>
      </c>
      <c r="N33" s="8"/>
      <c r="O33" s="8"/>
      <c r="P33" s="8"/>
      <c r="Q33" s="8"/>
      <c r="R33" s="8"/>
      <c r="S33" s="8"/>
      <c r="T33" s="8"/>
      <c r="U33" s="8"/>
    </row>
    <row r="34" ht="22" customHeight="1" spans="1:21">
      <c r="A34" s="8"/>
      <c r="B34" s="16">
        <f>库存明细!A18</f>
        <v>0</v>
      </c>
      <c r="C34" s="16">
        <f>库存明细!B18</f>
        <v>0</v>
      </c>
      <c r="D34" s="16">
        <f>库存明细!C18</f>
        <v>0</v>
      </c>
      <c r="E34" s="16">
        <f>库存明细!D18</f>
        <v>0</v>
      </c>
      <c r="F34" s="16">
        <f>库存明细!E18</f>
        <v>0</v>
      </c>
      <c r="G34" s="16">
        <f>库存明细!F18</f>
        <v>0</v>
      </c>
      <c r="H34" s="16">
        <f>库存明细!H18</f>
        <v>0</v>
      </c>
      <c r="I34" s="16">
        <f>库存明细!I18</f>
        <v>0</v>
      </c>
      <c r="J34" s="17">
        <f>库存明细!J18</f>
        <v>0</v>
      </c>
      <c r="K34" s="17">
        <f>库存明细!M18</f>
        <v>0</v>
      </c>
      <c r="L34" s="17">
        <f>库存明细!N18</f>
        <v>0</v>
      </c>
      <c r="M34" s="16">
        <f>库存明细!O18</f>
        <v>0</v>
      </c>
      <c r="N34" s="8"/>
      <c r="O34" s="8"/>
      <c r="P34" s="8"/>
      <c r="Q34" s="8"/>
      <c r="R34" s="8"/>
      <c r="S34" s="8"/>
      <c r="T34" s="8"/>
      <c r="U34" s="8"/>
    </row>
    <row r="35" ht="22" customHeight="1" spans="1:21">
      <c r="A35" s="8"/>
      <c r="B35" s="16">
        <f>库存明细!A19</f>
        <v>0</v>
      </c>
      <c r="C35" s="16">
        <f>库存明细!B19</f>
        <v>0</v>
      </c>
      <c r="D35" s="16">
        <f>库存明细!C19</f>
        <v>0</v>
      </c>
      <c r="E35" s="16">
        <f>库存明细!D19</f>
        <v>0</v>
      </c>
      <c r="F35" s="16">
        <f>库存明细!E19</f>
        <v>0</v>
      </c>
      <c r="G35" s="16">
        <f>库存明细!F19</f>
        <v>0</v>
      </c>
      <c r="H35" s="16">
        <f>库存明细!H19</f>
        <v>0</v>
      </c>
      <c r="I35" s="16">
        <f>库存明细!I19</f>
        <v>0</v>
      </c>
      <c r="J35" s="17">
        <f>库存明细!J19</f>
        <v>0</v>
      </c>
      <c r="K35" s="17">
        <f>库存明细!M19</f>
        <v>0</v>
      </c>
      <c r="L35" s="17">
        <f>库存明细!N19</f>
        <v>0</v>
      </c>
      <c r="M35" s="16">
        <f>库存明细!O19</f>
        <v>0</v>
      </c>
      <c r="N35" s="8"/>
      <c r="O35" s="8"/>
      <c r="P35" s="8"/>
      <c r="Q35" s="8"/>
      <c r="R35" s="8"/>
      <c r="S35" s="8"/>
      <c r="T35" s="8"/>
      <c r="U35" s="8"/>
    </row>
    <row r="36" ht="22" customHeight="1" spans="1:21">
      <c r="A36" s="8"/>
      <c r="B36" s="16">
        <f>库存明细!A20</f>
        <v>0</v>
      </c>
      <c r="C36" s="16">
        <f>库存明细!B20</f>
        <v>0</v>
      </c>
      <c r="D36" s="16">
        <f>库存明细!C20</f>
        <v>0</v>
      </c>
      <c r="E36" s="16">
        <f>库存明细!D20</f>
        <v>0</v>
      </c>
      <c r="F36" s="16">
        <f>库存明细!E20</f>
        <v>0</v>
      </c>
      <c r="G36" s="16">
        <f>库存明细!F20</f>
        <v>0</v>
      </c>
      <c r="H36" s="16">
        <f>库存明细!H20</f>
        <v>0</v>
      </c>
      <c r="I36" s="16">
        <f>库存明细!I20</f>
        <v>0</v>
      </c>
      <c r="J36" s="17">
        <f>库存明细!J20</f>
        <v>0</v>
      </c>
      <c r="K36" s="17">
        <f>库存明细!M20</f>
        <v>0</v>
      </c>
      <c r="L36" s="17">
        <f>库存明细!N20</f>
        <v>0</v>
      </c>
      <c r="M36" s="16">
        <f>库存明细!O20</f>
        <v>0</v>
      </c>
      <c r="N36" s="8"/>
      <c r="O36" s="8"/>
      <c r="P36" s="8"/>
      <c r="Q36" s="8"/>
      <c r="R36" s="8"/>
      <c r="S36" s="8"/>
      <c r="T36" s="8"/>
      <c r="U36" s="8"/>
    </row>
    <row r="37" ht="22" customHeight="1" spans="1:21">
      <c r="A37" s="8"/>
      <c r="B37" s="16">
        <f>库存明细!A21</f>
        <v>0</v>
      </c>
      <c r="C37" s="16">
        <f>库存明细!B21</f>
        <v>0</v>
      </c>
      <c r="D37" s="16">
        <f>库存明细!C21</f>
        <v>0</v>
      </c>
      <c r="E37" s="16">
        <f>库存明细!D21</f>
        <v>0</v>
      </c>
      <c r="F37" s="16">
        <f>库存明细!E21</f>
        <v>0</v>
      </c>
      <c r="G37" s="16">
        <f>库存明细!F21</f>
        <v>0</v>
      </c>
      <c r="H37" s="16">
        <f>库存明细!H21</f>
        <v>0</v>
      </c>
      <c r="I37" s="16">
        <f>库存明细!I21</f>
        <v>0</v>
      </c>
      <c r="J37" s="17">
        <f>库存明细!J21</f>
        <v>0</v>
      </c>
      <c r="K37" s="17">
        <f>库存明细!M21</f>
        <v>0</v>
      </c>
      <c r="L37" s="17">
        <f>库存明细!N21</f>
        <v>0</v>
      </c>
      <c r="M37" s="16">
        <f>库存明细!O21</f>
        <v>0</v>
      </c>
      <c r="N37" s="8"/>
      <c r="O37" s="8"/>
      <c r="P37" s="8"/>
      <c r="Q37" s="8"/>
      <c r="R37" s="8"/>
      <c r="S37" s="8"/>
      <c r="T37" s="8"/>
      <c r="U37" s="8"/>
    </row>
    <row r="38" ht="22" customHeight="1" spans="1:21">
      <c r="A38" s="8"/>
      <c r="B38" s="16">
        <f>库存明细!A22</f>
        <v>0</v>
      </c>
      <c r="C38" s="16">
        <f>库存明细!B22</f>
        <v>0</v>
      </c>
      <c r="D38" s="16">
        <f>库存明细!C22</f>
        <v>0</v>
      </c>
      <c r="E38" s="16">
        <f>库存明细!D22</f>
        <v>0</v>
      </c>
      <c r="F38" s="16">
        <f>库存明细!E22</f>
        <v>0</v>
      </c>
      <c r="G38" s="16">
        <f>库存明细!F22</f>
        <v>0</v>
      </c>
      <c r="H38" s="16">
        <f>库存明细!H22</f>
        <v>0</v>
      </c>
      <c r="I38" s="16">
        <f>库存明细!I22</f>
        <v>0</v>
      </c>
      <c r="J38" s="17">
        <f>库存明细!J22</f>
        <v>0</v>
      </c>
      <c r="K38" s="17">
        <f>库存明细!M22</f>
        <v>0</v>
      </c>
      <c r="L38" s="17">
        <f>库存明细!N22</f>
        <v>0</v>
      </c>
      <c r="M38" s="16">
        <f>库存明细!O22</f>
        <v>0</v>
      </c>
      <c r="N38" s="8"/>
      <c r="O38" s="8"/>
      <c r="P38" s="8"/>
      <c r="Q38" s="8"/>
      <c r="R38" s="8"/>
      <c r="S38" s="8"/>
      <c r="T38" s="8"/>
      <c r="U38" s="8"/>
    </row>
    <row r="39" ht="22" customHeight="1" spans="1:21">
      <c r="A39" s="8"/>
      <c r="B39" s="16">
        <f>库存明细!A23</f>
        <v>0</v>
      </c>
      <c r="C39" s="16">
        <f>库存明细!B23</f>
        <v>0</v>
      </c>
      <c r="D39" s="16">
        <f>库存明细!C23</f>
        <v>0</v>
      </c>
      <c r="E39" s="16">
        <f>库存明细!D23</f>
        <v>0</v>
      </c>
      <c r="F39" s="16">
        <f>库存明细!E23</f>
        <v>0</v>
      </c>
      <c r="G39" s="16">
        <f>库存明细!F23</f>
        <v>0</v>
      </c>
      <c r="H39" s="16">
        <f>库存明细!H23</f>
        <v>0</v>
      </c>
      <c r="I39" s="16">
        <f>库存明细!I23</f>
        <v>0</v>
      </c>
      <c r="J39" s="17">
        <f>库存明细!J23</f>
        <v>0</v>
      </c>
      <c r="K39" s="17">
        <f>库存明细!M23</f>
        <v>0</v>
      </c>
      <c r="L39" s="17">
        <f>库存明细!N23</f>
        <v>0</v>
      </c>
      <c r="M39" s="16">
        <f>库存明细!O23</f>
        <v>0</v>
      </c>
      <c r="N39" s="8"/>
      <c r="O39" s="8"/>
      <c r="P39" s="8"/>
      <c r="Q39" s="8"/>
      <c r="R39" s="8"/>
      <c r="S39" s="8"/>
      <c r="T39" s="8"/>
      <c r="U39" s="8"/>
    </row>
    <row r="40" ht="22" customHeight="1" spans="1:21">
      <c r="A40" s="8"/>
      <c r="B40" s="16">
        <f>库存明细!A24</f>
        <v>0</v>
      </c>
      <c r="C40" s="16">
        <f>库存明细!B24</f>
        <v>0</v>
      </c>
      <c r="D40" s="16">
        <f>库存明细!C24</f>
        <v>0</v>
      </c>
      <c r="E40" s="16">
        <f>库存明细!D24</f>
        <v>0</v>
      </c>
      <c r="F40" s="16">
        <f>库存明细!E24</f>
        <v>0</v>
      </c>
      <c r="G40" s="16">
        <f>库存明细!F24</f>
        <v>0</v>
      </c>
      <c r="H40" s="16">
        <f>库存明细!H24</f>
        <v>0</v>
      </c>
      <c r="I40" s="16">
        <f>库存明细!I24</f>
        <v>0</v>
      </c>
      <c r="J40" s="17">
        <f>库存明细!J24</f>
        <v>0</v>
      </c>
      <c r="K40" s="17">
        <f>库存明细!M24</f>
        <v>0</v>
      </c>
      <c r="L40" s="17">
        <f>库存明细!N24</f>
        <v>0</v>
      </c>
      <c r="M40" s="16">
        <f>库存明细!O24</f>
        <v>0</v>
      </c>
      <c r="N40" s="8"/>
      <c r="O40" s="8"/>
      <c r="P40" s="8"/>
      <c r="Q40" s="8"/>
      <c r="R40" s="8"/>
      <c r="S40" s="8"/>
      <c r="T40" s="8"/>
      <c r="U40" s="8"/>
    </row>
    <row r="41" ht="22" customHeight="1" spans="1:21">
      <c r="A41" s="8"/>
      <c r="B41" s="16">
        <f>库存明细!A25</f>
        <v>0</v>
      </c>
      <c r="C41" s="16">
        <f>库存明细!B25</f>
        <v>0</v>
      </c>
      <c r="D41" s="16">
        <f>库存明细!C25</f>
        <v>0</v>
      </c>
      <c r="E41" s="16">
        <f>库存明细!D25</f>
        <v>0</v>
      </c>
      <c r="F41" s="16">
        <f>库存明细!E25</f>
        <v>0</v>
      </c>
      <c r="G41" s="16">
        <f>库存明细!F25</f>
        <v>0</v>
      </c>
      <c r="H41" s="16">
        <f>库存明细!H25</f>
        <v>0</v>
      </c>
      <c r="I41" s="16">
        <f>库存明细!I25</f>
        <v>0</v>
      </c>
      <c r="J41" s="17">
        <f>库存明细!J25</f>
        <v>0</v>
      </c>
      <c r="K41" s="17">
        <f>库存明细!M25</f>
        <v>0</v>
      </c>
      <c r="L41" s="17">
        <f>库存明细!N25</f>
        <v>0</v>
      </c>
      <c r="M41" s="16">
        <f>库存明细!O25</f>
        <v>0</v>
      </c>
      <c r="N41" s="8"/>
      <c r="O41" s="8"/>
      <c r="P41" s="8"/>
      <c r="Q41" s="8"/>
      <c r="R41" s="8"/>
      <c r="S41" s="8"/>
      <c r="T41" s="8"/>
      <c r="U41" s="8"/>
    </row>
    <row r="42" ht="22" customHeight="1" spans="1:21">
      <c r="A42" s="8"/>
      <c r="B42" s="16">
        <f>库存明细!A26</f>
        <v>0</v>
      </c>
      <c r="C42" s="16">
        <f>库存明细!B26</f>
        <v>0</v>
      </c>
      <c r="D42" s="16">
        <f>库存明细!C26</f>
        <v>0</v>
      </c>
      <c r="E42" s="16">
        <f>库存明细!D26</f>
        <v>0</v>
      </c>
      <c r="F42" s="16">
        <f>库存明细!E26</f>
        <v>0</v>
      </c>
      <c r="G42" s="16">
        <f>库存明细!F26</f>
        <v>0</v>
      </c>
      <c r="H42" s="16">
        <f>库存明细!H26</f>
        <v>0</v>
      </c>
      <c r="I42" s="16">
        <f>库存明细!I26</f>
        <v>0</v>
      </c>
      <c r="J42" s="17">
        <f>库存明细!J26</f>
        <v>0</v>
      </c>
      <c r="K42" s="17">
        <f>库存明细!M26</f>
        <v>0</v>
      </c>
      <c r="L42" s="17">
        <f>库存明细!N26</f>
        <v>0</v>
      </c>
      <c r="M42" s="16">
        <f>库存明细!O26</f>
        <v>0</v>
      </c>
      <c r="N42" s="8"/>
      <c r="O42" s="8"/>
      <c r="P42" s="8"/>
      <c r="Q42" s="8"/>
      <c r="R42" s="8"/>
      <c r="S42" s="8"/>
      <c r="T42" s="8"/>
      <c r="U42" s="8"/>
    </row>
    <row r="43" ht="22" customHeight="1" spans="1:21">
      <c r="A43" s="8"/>
      <c r="B43" s="16">
        <f>库存明细!A27</f>
        <v>0</v>
      </c>
      <c r="C43" s="16">
        <f>库存明细!B27</f>
        <v>0</v>
      </c>
      <c r="D43" s="16">
        <f>库存明细!C27</f>
        <v>0</v>
      </c>
      <c r="E43" s="16">
        <f>库存明细!D27</f>
        <v>0</v>
      </c>
      <c r="F43" s="16">
        <f>库存明细!E27</f>
        <v>0</v>
      </c>
      <c r="G43" s="16">
        <f>库存明细!F27</f>
        <v>0</v>
      </c>
      <c r="H43" s="16">
        <f>库存明细!H27</f>
        <v>0</v>
      </c>
      <c r="I43" s="16">
        <f>库存明细!I27</f>
        <v>0</v>
      </c>
      <c r="J43" s="17">
        <f>库存明细!J27</f>
        <v>0</v>
      </c>
      <c r="K43" s="17">
        <f>库存明细!M27</f>
        <v>0</v>
      </c>
      <c r="L43" s="17">
        <f>库存明细!N27</f>
        <v>0</v>
      </c>
      <c r="M43" s="16">
        <f>库存明细!O27</f>
        <v>0</v>
      </c>
      <c r="N43" s="8"/>
      <c r="O43" s="8"/>
      <c r="P43" s="8"/>
      <c r="Q43" s="8"/>
      <c r="R43" s="8"/>
      <c r="S43" s="8"/>
      <c r="T43" s="8"/>
      <c r="U43" s="8"/>
    </row>
    <row r="44" ht="22" customHeight="1" spans="1:21">
      <c r="A44" s="8"/>
      <c r="B44" s="16">
        <f>库存明细!A28</f>
        <v>0</v>
      </c>
      <c r="C44" s="16">
        <f>库存明细!B28</f>
        <v>0</v>
      </c>
      <c r="D44" s="16">
        <f>库存明细!C28</f>
        <v>0</v>
      </c>
      <c r="E44" s="16">
        <f>库存明细!D28</f>
        <v>0</v>
      </c>
      <c r="F44" s="16">
        <f>库存明细!E28</f>
        <v>0</v>
      </c>
      <c r="G44" s="16">
        <f>库存明细!F28</f>
        <v>0</v>
      </c>
      <c r="H44" s="16">
        <f>库存明细!H28</f>
        <v>0</v>
      </c>
      <c r="I44" s="16">
        <f>库存明细!I28</f>
        <v>0</v>
      </c>
      <c r="J44" s="17">
        <f>库存明细!J28</f>
        <v>0</v>
      </c>
      <c r="K44" s="17">
        <f>库存明细!M28</f>
        <v>0</v>
      </c>
      <c r="L44" s="17">
        <f>库存明细!N28</f>
        <v>0</v>
      </c>
      <c r="M44" s="16">
        <f>库存明细!O28</f>
        <v>0</v>
      </c>
      <c r="N44" s="8"/>
      <c r="O44" s="8"/>
      <c r="P44" s="8"/>
      <c r="Q44" s="8"/>
      <c r="R44" s="8"/>
      <c r="S44" s="8"/>
      <c r="T44" s="8"/>
      <c r="U44" s="8"/>
    </row>
    <row r="45" ht="22" customHeight="1" spans="1:21">
      <c r="A45" s="8"/>
      <c r="B45" s="16">
        <f>库存明细!A29</f>
        <v>0</v>
      </c>
      <c r="C45" s="16">
        <f>库存明细!B29</f>
        <v>0</v>
      </c>
      <c r="D45" s="16">
        <f>库存明细!C29</f>
        <v>0</v>
      </c>
      <c r="E45" s="16">
        <f>库存明细!D29</f>
        <v>0</v>
      </c>
      <c r="F45" s="16">
        <f>库存明细!E29</f>
        <v>0</v>
      </c>
      <c r="G45" s="16">
        <f>库存明细!F29</f>
        <v>0</v>
      </c>
      <c r="H45" s="16">
        <f>库存明细!H29</f>
        <v>0</v>
      </c>
      <c r="I45" s="16">
        <f>库存明细!I29</f>
        <v>0</v>
      </c>
      <c r="J45" s="17">
        <f>库存明细!J29</f>
        <v>0</v>
      </c>
      <c r="K45" s="17">
        <f>库存明细!M29</f>
        <v>0</v>
      </c>
      <c r="L45" s="17">
        <f>库存明细!N29</f>
        <v>0</v>
      </c>
      <c r="M45" s="16">
        <f>库存明细!O29</f>
        <v>0</v>
      </c>
      <c r="N45" s="8"/>
      <c r="O45" s="8"/>
      <c r="P45" s="8"/>
      <c r="Q45" s="8"/>
      <c r="R45" s="8"/>
      <c r="S45" s="8"/>
      <c r="T45" s="8"/>
      <c r="U45" s="8"/>
    </row>
    <row r="46" ht="22" customHeight="1" spans="1:21">
      <c r="A46" s="8"/>
      <c r="B46" s="8">
        <f>库存明细!A30</f>
        <v>0</v>
      </c>
      <c r="C46" s="8">
        <f>库存明细!B30</f>
        <v>0</v>
      </c>
      <c r="D46" s="8">
        <f>库存明细!C30</f>
        <v>0</v>
      </c>
      <c r="E46" s="8">
        <f>库存明细!D30</f>
        <v>0</v>
      </c>
      <c r="F46" s="8">
        <f>库存明细!E30</f>
        <v>0</v>
      </c>
      <c r="G46" s="8">
        <f>库存明细!F30</f>
        <v>0</v>
      </c>
      <c r="H46" s="8">
        <f>库存明细!H30</f>
        <v>0</v>
      </c>
      <c r="I46" s="8">
        <f>库存明细!I30</f>
        <v>0</v>
      </c>
      <c r="J46" s="8">
        <f>库存明细!J30</f>
        <v>0</v>
      </c>
      <c r="K46" s="8">
        <f>库存明细!M30</f>
        <v>0</v>
      </c>
      <c r="L46" s="8">
        <f>库存明细!N30</f>
        <v>0</v>
      </c>
      <c r="M46" s="8">
        <f>库存明细!O30</f>
        <v>0</v>
      </c>
      <c r="N46" s="8"/>
      <c r="O46" s="8"/>
      <c r="P46" s="8"/>
      <c r="Q46" s="8"/>
      <c r="R46" s="8"/>
      <c r="S46" s="8"/>
      <c r="T46" s="8"/>
      <c r="U46" s="8"/>
    </row>
    <row r="47" ht="22" customHeight="1" spans="1:2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ht="22" customHeight="1" spans="1:2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ht="22" customHeight="1" spans="1:2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ht="22" customHeight="1" spans="1:2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ht="22" customHeight="1" spans="1:2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ht="22" customHeight="1" spans="1:2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ht="22" customHeight="1" spans="1:2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ht="22" customHeight="1" spans="1:2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ht="22" customHeight="1" spans="1:2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ht="22" customHeight="1" spans="1:2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ht="22" customHeight="1" spans="1:2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 ht="22" customHeight="1" spans="1:2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ht="22" customHeight="1" spans="1:2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 ht="22" customHeight="1" spans="1:2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ht="22" customHeight="1" spans="1:2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ht="22" customHeight="1" spans="1:2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ht="22" customHeight="1" spans="1:2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 ht="22" customHeight="1" spans="1:2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r="65" ht="22" customHeight="1" spans="1:2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ht="22" customHeight="1" spans="1:2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ht="22" customHeight="1" spans="1:2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ht="22" customHeight="1" spans="1:2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ht="22" customHeight="1" spans="1:2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 ht="22" customHeight="1" spans="1:2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  <row r="71" ht="22" customHeight="1" spans="1:2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r="72" ht="22" customHeight="1" spans="1:2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</row>
    <row r="73" ht="22" customHeight="1" spans="1:2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ht="22" customHeight="1" spans="1:2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ht="22" customHeight="1" spans="1:2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 ht="22" customHeight="1" spans="1:2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 ht="22" customHeight="1" spans="1:2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 ht="22" customHeight="1" spans="1:2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r="79" ht="22" customHeight="1" spans="1:2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ht="22" customHeight="1" spans="1:2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 ht="22" customHeight="1" spans="1:2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 ht="22" customHeight="1" spans="1:2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 ht="22" customHeight="1" spans="1:2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 ht="22" customHeight="1" spans="1:2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r="85" ht="22" customHeight="1" spans="1:2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 ht="22" customHeight="1" spans="1:2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ht="22" customHeight="1" spans="1:2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</row>
    <row r="88" ht="22" customHeight="1" spans="1:2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</row>
    <row r="89" ht="22" customHeight="1" spans="1:2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r="90" spans="1:2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</row>
  </sheetData>
  <mergeCells count="4">
    <mergeCell ref="A1:U1"/>
    <mergeCell ref="A2:U2"/>
    <mergeCell ref="B5:J5"/>
    <mergeCell ref="B15:J15"/>
  </mergeCells>
  <conditionalFormatting sqref="G7:G12">
    <cfRule type="cellIs" dxfId="0" priority="1" operator="greaterThan">
      <formula>60</formula>
    </cfRule>
    <cfRule type="iconSet" priority="2">
      <iconSet iconSet="3TrafficLights1">
        <cfvo type="num" val="30"/>
        <cfvo type="num" val="60"/>
        <cfvo type="num" val="120"/>
      </iconSet>
    </cfRule>
  </conditionalFormatting>
  <dataValidations count="3">
    <dataValidation type="list" sqref="F3">
      <formula1>"全部,大润发,盒马,华润,沃尔玛,永辉,天虹,比优特,家得福"</formula1>
    </dataValidation>
    <dataValidation type="list" sqref="I3">
      <formula1>"全部,华东,华南,华北,华中,西北,东北"</formula1>
    </dataValidation>
    <dataValidation type="list" sqref="L3">
      <formula1>"全部,上海,江苏,广东,北京,湖北,浙江,黑龙江,天津"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0"/>
  <sheetViews>
    <sheetView showGridLines="0" workbookViewId="0">
      <pane ySplit="5" topLeftCell="A6" activePane="bottomLeft" state="frozen"/>
      <selection/>
      <selection pane="bottomLeft" activeCell="A1" sqref="A1:U1"/>
    </sheetView>
  </sheetViews>
  <sheetFormatPr defaultColWidth="9" defaultRowHeight="13.5"/>
  <cols>
    <col min="1" max="1" width="4" customWidth="1"/>
    <col min="2" max="4" width="18" customWidth="1"/>
    <col min="5" max="6" width="20" customWidth="1"/>
    <col min="7" max="10" width="16" customWidth="1"/>
    <col min="11" max="21" width="14" customWidth="1"/>
  </cols>
  <sheetData>
    <row r="1" ht="22" customHeight="1" spans="1:21">
      <c r="A1" s="6" t="s">
        <v>139</v>
      </c>
    </row>
    <row r="2" ht="22" customHeight="1" spans="1:21">
      <c r="A2" s="7" t="s">
        <v>140</v>
      </c>
    </row>
    <row r="3" ht="22" customHeight="1" spans="1:21">
      <c r="A3" s="8"/>
      <c r="B3" s="9" t="s">
        <v>2</v>
      </c>
      <c r="C3" s="10">
        <f>MAX(销售明细!A2:A500)</f>
        <v>46172</v>
      </c>
      <c r="D3" s="8"/>
      <c r="E3" s="9" t="s">
        <v>3</v>
      </c>
      <c r="F3" s="11" t="s">
        <v>4</v>
      </c>
      <c r="G3" s="8"/>
      <c r="H3" s="9" t="s">
        <v>5</v>
      </c>
      <c r="I3" s="11" t="s">
        <v>4</v>
      </c>
      <c r="J3" s="8"/>
      <c r="K3" s="9" t="s">
        <v>69</v>
      </c>
      <c r="L3" s="11" t="s">
        <v>4</v>
      </c>
      <c r="M3" s="8"/>
      <c r="N3" s="8"/>
      <c r="O3" s="8"/>
      <c r="P3" s="8"/>
      <c r="Q3" s="8"/>
      <c r="R3" s="8"/>
      <c r="S3" s="8"/>
      <c r="T3" s="8"/>
      <c r="U3" s="8"/>
    </row>
    <row r="4" ht="22" customHeight="1" spans="1:2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ht="22" customHeight="1" spans="1:21">
      <c r="A5" s="8"/>
      <c r="B5" s="12" t="s">
        <v>141</v>
      </c>
      <c r="C5" s="13"/>
      <c r="D5" s="13"/>
      <c r="E5" s="13"/>
      <c r="F5" s="13"/>
      <c r="G5" s="13"/>
      <c r="H5" s="13"/>
      <c r="I5" s="13"/>
      <c r="J5" s="14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ht="22" customHeight="1" spans="1:21">
      <c r="A6" s="8"/>
      <c r="B6" s="15" t="s">
        <v>142</v>
      </c>
      <c r="C6" s="15" t="s">
        <v>5</v>
      </c>
      <c r="D6" s="15" t="s">
        <v>44</v>
      </c>
      <c r="E6" s="15" t="s">
        <v>41</v>
      </c>
      <c r="F6" s="15" t="s">
        <v>126</v>
      </c>
      <c r="G6" s="15" t="s">
        <v>11</v>
      </c>
      <c r="H6" s="15" t="s">
        <v>143</v>
      </c>
      <c r="I6" s="15" t="s">
        <v>144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ht="22" customHeight="1" spans="1:21">
      <c r="A7" s="8"/>
      <c r="B7" s="16">
        <v>1</v>
      </c>
      <c r="C7" s="16" t="str">
        <f>IFERROR(INDEX($L$20:$L$24,MATCH(LARGE($M$20:$M$24,B7),$M$20:$M$24,0)),"")</f>
        <v/>
      </c>
      <c r="D7" s="17">
        <f>IFERROR(INDEX($M$20:$M$24,MATCH(C7,$L$20:$L$24,0)),0)</f>
        <v>0</v>
      </c>
      <c r="E7" s="17">
        <f>IFERROR(INDEX($N$20:$N$24,MATCH(C7,$L$20:$L$24,0)),0)</f>
        <v>0</v>
      </c>
      <c r="F7" s="17">
        <f>IFERROR(INDEX($O$20:$O$24,MATCH(C7,$L$20:$L$24,0)),0)</f>
        <v>0</v>
      </c>
      <c r="G7" s="17" t="str">
        <f>IFERROR(INDEX($P$20:$P$24,MATCH(C7,$L$20:$L$24,0)),"")</f>
        <v/>
      </c>
      <c r="H7" s="16" t="str">
        <f>IFERROR(INDEX(库存明细!$I$2:$I$500,MATCH(_xlfn.MAXIFS(库存明细!$N$2:$N$500,库存明细!$C$2:$C$500,C7),库存明细!$N$2:$N$500,0)),"")</f>
        <v/>
      </c>
      <c r="I7" s="16" t="str">
        <f>IF(D7&gt;0,"优先清理无动销库存/调拨/促销","正常跟踪")</f>
        <v>正常跟踪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ht="22" customHeight="1" spans="1:21">
      <c r="A8" s="8"/>
      <c r="B8" s="16">
        <v>2</v>
      </c>
      <c r="C8" s="16" t="str">
        <f>IFERROR(INDEX($L$20:$L$24,MATCH(LARGE($M$20:$M$24,B8),$M$20:$M$24,0)),"")</f>
        <v/>
      </c>
      <c r="D8" s="17">
        <f>IFERROR(INDEX($M$20:$M$24,MATCH(C8,$L$20:$L$24,0)),0)</f>
        <v>0</v>
      </c>
      <c r="E8" s="17">
        <f>IFERROR(INDEX($N$20:$N$24,MATCH(C8,$L$20:$L$24,0)),0)</f>
        <v>0</v>
      </c>
      <c r="F8" s="17">
        <f>IFERROR(INDEX($O$20:$O$24,MATCH(C8,$L$20:$L$24,0)),0)</f>
        <v>0</v>
      </c>
      <c r="G8" s="17" t="str">
        <f>IFERROR(INDEX($P$20:$P$24,MATCH(C8,$L$20:$L$24,0)),"")</f>
        <v/>
      </c>
      <c r="H8" s="16" t="str">
        <f>IFERROR(INDEX(库存明细!$I$2:$I$500,MATCH(_xlfn.MAXIFS(库存明细!$N$2:$N$500,库存明细!$C$2:$C$500,C8),库存明细!$N$2:$N$500,0)),"")</f>
        <v/>
      </c>
      <c r="I8" s="16" t="str">
        <f>IF(D8&gt;0,"优先清理无动销库存/调拨/促销","正常跟踪")</f>
        <v>正常跟踪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ht="22" customHeight="1" spans="1:21">
      <c r="A9" s="8"/>
      <c r="B9" s="16">
        <v>3</v>
      </c>
      <c r="C9" s="16" t="str">
        <f>IFERROR(INDEX($L$20:$L$24,MATCH(LARGE($M$20:$M$24,B9),$M$20:$M$24,0)),"")</f>
        <v/>
      </c>
      <c r="D9" s="17">
        <f>IFERROR(INDEX($M$20:$M$24,MATCH(C9,$L$20:$L$24,0)),0)</f>
        <v>0</v>
      </c>
      <c r="E9" s="17">
        <f>IFERROR(INDEX($N$20:$N$24,MATCH(C9,$L$20:$L$24,0)),0)</f>
        <v>0</v>
      </c>
      <c r="F9" s="17">
        <f>IFERROR(INDEX($O$20:$O$24,MATCH(C9,$L$20:$L$24,0)),0)</f>
        <v>0</v>
      </c>
      <c r="G9" s="17" t="str">
        <f>IFERROR(INDEX($P$20:$P$24,MATCH(C9,$L$20:$L$24,0)),"")</f>
        <v/>
      </c>
      <c r="H9" s="16" t="str">
        <f>IFERROR(INDEX(库存明细!$I$2:$I$500,MATCH(_xlfn.MAXIFS(库存明细!$N$2:$N$500,库存明细!$C$2:$C$500,C9),库存明细!$N$2:$N$500,0)),"")</f>
        <v/>
      </c>
      <c r="I9" s="16" t="str">
        <f>IF(D9&gt;0,"优先清理无动销库存/调拨/促销","正常跟踪")</f>
        <v>正常跟踪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ht="22" customHeight="1" spans="1:21">
      <c r="A10" s="8"/>
      <c r="B10" s="16">
        <v>4</v>
      </c>
      <c r="C10" s="16" t="str">
        <f>IFERROR(INDEX($L$20:$L$24,MATCH(LARGE($M$20:$M$24,B10),$M$20:$M$24,0)),"")</f>
        <v/>
      </c>
      <c r="D10" s="17">
        <f>IFERROR(INDEX($M$20:$M$24,MATCH(C10,$L$20:$L$24,0)),0)</f>
        <v>0</v>
      </c>
      <c r="E10" s="17">
        <f>IFERROR(INDEX($N$20:$N$24,MATCH(C10,$L$20:$L$24,0)),0)</f>
        <v>0</v>
      </c>
      <c r="F10" s="17">
        <f>IFERROR(INDEX($O$20:$O$24,MATCH(C10,$L$20:$L$24,0)),0)</f>
        <v>0</v>
      </c>
      <c r="G10" s="17" t="str">
        <f>IFERROR(INDEX($P$20:$P$24,MATCH(C10,$L$20:$L$24,0)),"")</f>
        <v/>
      </c>
      <c r="H10" s="16" t="str">
        <f>IFERROR(INDEX(库存明细!$I$2:$I$500,MATCH(_xlfn.MAXIFS(库存明细!$N$2:$N$500,库存明细!$C$2:$C$500,C10),库存明细!$N$2:$N$500,0)),"")</f>
        <v/>
      </c>
      <c r="I10" s="16" t="str">
        <f>IF(D10&gt;0,"优先清理无动销库存/调拨/促销","正常跟踪")</f>
        <v>正常跟踪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ht="22" customHeight="1" spans="1:21">
      <c r="A11" s="8"/>
      <c r="B11" s="16">
        <v>5</v>
      </c>
      <c r="C11" s="16" t="str">
        <f>IFERROR(INDEX($L$20:$L$24,MATCH(LARGE($M$20:$M$24,B11),$M$20:$M$24,0)),"")</f>
        <v/>
      </c>
      <c r="D11" s="17">
        <f>IFERROR(INDEX($M$20:$M$24,MATCH(C11,$L$20:$L$24,0)),0)</f>
        <v>0</v>
      </c>
      <c r="E11" s="17">
        <f>IFERROR(INDEX($N$20:$N$24,MATCH(C11,$L$20:$L$24,0)),0)</f>
        <v>0</v>
      </c>
      <c r="F11" s="17">
        <f>IFERROR(INDEX($O$20:$O$24,MATCH(C11,$L$20:$L$24,0)),0)</f>
        <v>0</v>
      </c>
      <c r="G11" s="17" t="str">
        <f>IFERROR(INDEX($P$20:$P$24,MATCH(C11,$L$20:$L$24,0)),"")</f>
        <v/>
      </c>
      <c r="H11" s="16" t="str">
        <f>IFERROR(INDEX(库存明细!$I$2:$I$500,MATCH(_xlfn.MAXIFS(库存明细!$N$2:$N$500,库存明细!$C$2:$C$500,C11),库存明细!$N$2:$N$500,0)),"")</f>
        <v/>
      </c>
      <c r="I11" s="16" t="str">
        <f>IF(D11&gt;0,"优先清理无动销库存/调拨/促销","正常跟踪")</f>
        <v>正常跟踪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ht="22" customHeight="1" spans="1:2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ht="22" customHeight="1" spans="1:2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ht="22" customHeight="1" spans="1:2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ht="22" customHeight="1" spans="1:21">
      <c r="A15" s="8"/>
      <c r="B15" s="12" t="s">
        <v>145</v>
      </c>
      <c r="C15" s="13"/>
      <c r="D15" s="13"/>
      <c r="E15" s="13"/>
      <c r="F15" s="13"/>
      <c r="G15" s="13"/>
      <c r="H15" s="13"/>
      <c r="I15" s="13"/>
      <c r="J15" s="14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ht="22" customHeight="1" spans="1:21">
      <c r="A16" s="8"/>
      <c r="B16" s="15" t="s">
        <v>108</v>
      </c>
      <c r="C16" s="15" t="s">
        <v>3</v>
      </c>
      <c r="D16" s="15" t="s">
        <v>5</v>
      </c>
      <c r="E16" s="15" t="s">
        <v>69</v>
      </c>
      <c r="F16" s="15" t="s">
        <v>109</v>
      </c>
      <c r="G16" s="15" t="s">
        <v>110</v>
      </c>
      <c r="H16" s="15" t="s">
        <v>84</v>
      </c>
      <c r="I16" s="15" t="s">
        <v>85</v>
      </c>
      <c r="J16" s="15" t="s">
        <v>41</v>
      </c>
      <c r="K16" s="15" t="s">
        <v>126</v>
      </c>
      <c r="L16" s="15" t="s">
        <v>43</v>
      </c>
      <c r="M16" s="15" t="s">
        <v>138</v>
      </c>
      <c r="N16" s="8"/>
      <c r="O16" s="8"/>
      <c r="P16" s="8"/>
      <c r="Q16" s="8"/>
      <c r="R16" s="8"/>
      <c r="S16" s="8"/>
      <c r="T16" s="8"/>
      <c r="U16" s="8"/>
    </row>
    <row r="17" ht="22" customHeight="1" spans="1:2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ht="22" customHeight="1" spans="1:21">
      <c r="A18" s="8"/>
      <c r="B18" s="16">
        <f>库存明细!A2</f>
        <v>46172</v>
      </c>
      <c r="C18" s="16" t="str">
        <f>库存明细!B2</f>
        <v>大润发</v>
      </c>
      <c r="D18" s="16" t="str">
        <f>库存明细!C2</f>
        <v>华东</v>
      </c>
      <c r="E18" s="16" t="str">
        <f>库存明细!D2</f>
        <v>上海</v>
      </c>
      <c r="F18" s="16" t="str">
        <f>库存明细!E2</f>
        <v>1001</v>
      </c>
      <c r="G18" s="16" t="str">
        <f>库存明细!F2</f>
        <v>闸北店</v>
      </c>
      <c r="H18" s="16" t="str">
        <f>库存明细!H2</f>
        <v>4354168</v>
      </c>
      <c r="I18" s="16" t="str">
        <f>库存明细!I2</f>
        <v>脱骨侠无骨鸡爪(柠檬味)</v>
      </c>
      <c r="J18" s="17">
        <f>库存明细!J2</f>
        <v>15089</v>
      </c>
      <c r="K18" s="17">
        <f>库存明细!M2</f>
        <v>620</v>
      </c>
      <c r="L18" s="17">
        <f>库存明细!N2</f>
        <v>24.3370967741935</v>
      </c>
      <c r="M18" s="16" t="str">
        <f>库存明细!O2</f>
        <v>N</v>
      </c>
      <c r="N18" s="8"/>
      <c r="O18" s="8"/>
      <c r="P18" s="8"/>
      <c r="Q18" s="8"/>
      <c r="R18" s="8"/>
      <c r="S18" s="8"/>
      <c r="T18" s="8"/>
      <c r="U18" s="8"/>
    </row>
    <row r="19" ht="22" customHeight="1" spans="1:21">
      <c r="A19" s="8"/>
      <c r="B19" s="16">
        <f>库存明细!A3</f>
        <v>46172</v>
      </c>
      <c r="C19" s="16" t="str">
        <f>库存明细!B3</f>
        <v>大润发</v>
      </c>
      <c r="D19" s="16" t="str">
        <f>库存明细!C3</f>
        <v>华南</v>
      </c>
      <c r="E19" s="16" t="str">
        <f>库存明细!D3</f>
        <v>广东</v>
      </c>
      <c r="F19" s="16" t="str">
        <f>库存明细!E3</f>
        <v>5001</v>
      </c>
      <c r="G19" s="16" t="str">
        <f>库存明细!F3</f>
        <v>广州天河店</v>
      </c>
      <c r="H19" s="16" t="str">
        <f>库存明细!H3</f>
        <v>4502138</v>
      </c>
      <c r="I19" s="16" t="str">
        <f>库存明细!I3</f>
        <v>脱骨侠虎皮凤爪(白松露味)</v>
      </c>
      <c r="J19" s="17">
        <f>库存明细!J3</f>
        <v>13619</v>
      </c>
      <c r="K19" s="17">
        <f>库存明细!M3</f>
        <v>210</v>
      </c>
      <c r="L19" s="17">
        <f>库存明细!N3</f>
        <v>64.852380952381</v>
      </c>
      <c r="M19" s="16" t="str">
        <f>库存明细!O3</f>
        <v>Y</v>
      </c>
      <c r="N19" s="8"/>
      <c r="O19" s="8"/>
      <c r="P19" s="8"/>
      <c r="Q19" s="8"/>
      <c r="R19" s="8"/>
      <c r="S19" s="8"/>
      <c r="T19" s="8"/>
      <c r="U19" s="8"/>
    </row>
    <row r="20" ht="22" customHeight="1" spans="1:21">
      <c r="A20" s="8"/>
      <c r="B20" s="16">
        <f>库存明细!A4</f>
        <v>46172</v>
      </c>
      <c r="C20" s="16" t="str">
        <f>库存明细!B4</f>
        <v>沃尔玛</v>
      </c>
      <c r="D20" s="16" t="str">
        <f>库存明细!C4</f>
        <v>华南</v>
      </c>
      <c r="E20" s="16" t="str">
        <f>库存明细!D4</f>
        <v>广东</v>
      </c>
      <c r="F20" s="16" t="str">
        <f>库存明细!E4</f>
        <v>101</v>
      </c>
      <c r="G20" s="16" t="str">
        <f>库存明细!F4</f>
        <v>沃尔玛广州天河店</v>
      </c>
      <c r="H20" s="16" t="str">
        <f>库存明细!H4</f>
        <v>25354863</v>
      </c>
      <c r="I20" s="16" t="str">
        <f>库存明细!I4</f>
        <v>常温脱骨侠无骨鸡爪柠檬</v>
      </c>
      <c r="J20" s="17">
        <f>库存明细!J4</f>
        <v>30943</v>
      </c>
      <c r="K20" s="17">
        <f>库存明细!M4</f>
        <v>1408</v>
      </c>
      <c r="L20" s="17">
        <f>库存明细!N4</f>
        <v>21.9765625</v>
      </c>
      <c r="M20" s="16" t="str">
        <f>库存明细!O4</f>
        <v>N</v>
      </c>
      <c r="N20" s="8">
        <f>SUMPRODUCT((库存明细!$A$2:$A$500=$C$3)*--((($F$3="全部")+(库存明细!$B$2:$B$500=$F$3))&gt;0)*--((($I$3="全部")+(库存明细!$C$2:$C$500=$I$3))&gt;0)*--((($L$3="全部")+(库存明细!$D$2:$D$500=$L$3))&gt;0)*--((库存明细!$C$2:$C$500=L20)&gt;0)*库存明细!$J$2:$J$500)</f>
        <v>181584</v>
      </c>
      <c r="O20" s="8">
        <f>SUMPRODUCT((库存明细!$A$2:$A$500=$C$3)*--((($F$3="全部")+(库存明细!$B$2:$B$500=$F$3))&gt;0)*--((($I$3="全部")+(库存明细!$C$2:$C$500=$I$3))&gt;0)*--((($L$3="全部")+(库存明细!$D$2:$D$500=$L$3))&gt;0)*--((库存明细!$C$2:$C$500=L20)&gt;0)*库存明细!$M$2:$M$500)</f>
        <v>22802</v>
      </c>
      <c r="P20" s="8">
        <f>IFERROR(N20/O20,"")</f>
        <v>7.96351197263398</v>
      </c>
      <c r="Q20" s="8"/>
      <c r="R20" s="8"/>
      <c r="S20" s="8"/>
      <c r="T20" s="8"/>
      <c r="U20" s="8"/>
    </row>
    <row r="21" ht="22" customHeight="1" spans="1:21">
      <c r="A21" s="8"/>
      <c r="B21" s="16">
        <f>库存明细!A5</f>
        <v>46172</v>
      </c>
      <c r="C21" s="16" t="str">
        <f>库存明细!B5</f>
        <v>华润</v>
      </c>
      <c r="D21" s="16" t="str">
        <f>库存明细!C5</f>
        <v>华北</v>
      </c>
      <c r="E21" s="16" t="str">
        <f>库存明细!D5</f>
        <v>北京</v>
      </c>
      <c r="F21" s="16" t="str">
        <f>库存明细!E5</f>
        <v>204392</v>
      </c>
      <c r="G21" s="16" t="str">
        <f>库存明细!F5</f>
        <v>皇姑店</v>
      </c>
      <c r="H21" s="16" t="str">
        <f>库存明细!H5</f>
        <v>5150673</v>
      </c>
      <c r="I21" s="16" t="str">
        <f>库存明细!I5</f>
        <v>脱骨侠无骨鸡爪(柠檬味)158g</v>
      </c>
      <c r="J21" s="17">
        <f>库存明细!J5</f>
        <v>5233</v>
      </c>
      <c r="K21" s="17">
        <f>库存明细!M5</f>
        <v>245</v>
      </c>
      <c r="L21" s="17">
        <f>库存明细!N5</f>
        <v>21.3591836734694</v>
      </c>
      <c r="M21" s="16" t="str">
        <f>库存明细!O5</f>
        <v>N</v>
      </c>
      <c r="N21" s="8">
        <f>SUMPRODUCT((库存明细!$A$2:$A$500=$C$3)*--((($F$3="全部")+(库存明细!$B$2:$B$500=$F$3))&gt;0)*--((($I$3="全部")+(库存明细!$C$2:$C$500=$I$3))&gt;0)*--((($L$3="全部")+(库存明细!$D$2:$D$500=$L$3))&gt;0)*--((库存明细!$C$2:$C$500=L21)&gt;0)*库存明细!$J$2:$J$500)</f>
        <v>181584</v>
      </c>
      <c r="O21" s="8">
        <f>SUMPRODUCT((库存明细!$A$2:$A$500=$C$3)*--((($F$3="全部")+(库存明细!$B$2:$B$500=$F$3))&gt;0)*--((($I$3="全部")+(库存明细!$C$2:$C$500=$I$3))&gt;0)*--((($L$3="全部")+(库存明细!$D$2:$D$500=$L$3))&gt;0)*--((库存明细!$C$2:$C$500=L21)&gt;0)*库存明细!$M$2:$M$500)</f>
        <v>22802</v>
      </c>
      <c r="P21" s="8">
        <f>IFERROR(N21/O21,"")</f>
        <v>7.96351197263398</v>
      </c>
      <c r="Q21" s="8"/>
      <c r="R21" s="8"/>
      <c r="S21" s="8"/>
      <c r="T21" s="8"/>
      <c r="U21" s="8"/>
    </row>
    <row r="22" ht="22" customHeight="1" spans="1:21">
      <c r="A22" s="8"/>
      <c r="B22" s="16">
        <f>库存明细!A6</f>
        <v>46172</v>
      </c>
      <c r="C22" s="16" t="str">
        <f>库存明细!B6</f>
        <v>盒马</v>
      </c>
      <c r="D22" s="16" t="str">
        <f>库存明细!C6</f>
        <v>华中</v>
      </c>
      <c r="E22" s="16" t="str">
        <f>库存明细!D6</f>
        <v>湖北</v>
      </c>
      <c r="F22" s="16" t="str">
        <f>库存明细!E6</f>
        <v>HM001</v>
      </c>
      <c r="G22" s="16" t="str">
        <f>库存明细!F6</f>
        <v>武汉珞狮路店</v>
      </c>
      <c r="H22" s="16" t="str">
        <f>库存明细!H6</f>
        <v>431448153</v>
      </c>
      <c r="I22" s="16" t="str">
        <f>库存明细!I6</f>
        <v>盒马工坊 蒜香无骨鸡爪 230g</v>
      </c>
      <c r="J22" s="17">
        <f>库存明细!J6</f>
        <v>94942</v>
      </c>
      <c r="K22" s="17">
        <f>库存明细!M6</f>
        <v>20146</v>
      </c>
      <c r="L22" s="17">
        <f>库存明细!N6</f>
        <v>4.71269730963963</v>
      </c>
      <c r="M22" s="16" t="str">
        <f>库存明细!O6</f>
        <v>N</v>
      </c>
      <c r="N22" s="8">
        <f>SUMPRODUCT((库存明细!$A$2:$A$500=$C$3)*--((($F$3="全部")+(库存明细!$B$2:$B$500=$F$3))&gt;0)*--((($I$3="全部")+(库存明细!$C$2:$C$500=$I$3))&gt;0)*--((($L$3="全部")+(库存明细!$D$2:$D$500=$L$3))&gt;0)*--((库存明细!$C$2:$C$500=L22)&gt;0)*库存明细!$J$2:$J$500)</f>
        <v>181584</v>
      </c>
      <c r="O22" s="8">
        <f>SUMPRODUCT((库存明细!$A$2:$A$500=$C$3)*--((($F$3="全部")+(库存明细!$B$2:$B$500=$F$3))&gt;0)*--((($I$3="全部")+(库存明细!$C$2:$C$500=$I$3))&gt;0)*--((($L$3="全部")+(库存明细!$D$2:$D$500=$L$3))&gt;0)*--((库存明细!$C$2:$C$500=L22)&gt;0)*库存明细!$M$2:$M$500)</f>
        <v>22802</v>
      </c>
      <c r="P22" s="8">
        <f>IFERROR(N22/O22,"")</f>
        <v>7.96351197263398</v>
      </c>
      <c r="Q22" s="8"/>
      <c r="R22" s="8"/>
      <c r="S22" s="8"/>
      <c r="T22" s="8"/>
      <c r="U22" s="8"/>
    </row>
    <row r="23" ht="22" customHeight="1" spans="1:21">
      <c r="A23" s="8"/>
      <c r="B23" s="16">
        <f>库存明细!A7</f>
        <v>46172</v>
      </c>
      <c r="C23" s="16" t="str">
        <f>库存明细!B7</f>
        <v>永辉</v>
      </c>
      <c r="D23" s="16" t="str">
        <f>库存明细!C7</f>
        <v>华东</v>
      </c>
      <c r="E23" s="16" t="str">
        <f>库存明细!D7</f>
        <v>浙江</v>
      </c>
      <c r="F23" s="16" t="str">
        <f>库存明细!E7</f>
        <v>9626</v>
      </c>
      <c r="G23" s="16" t="str">
        <f>库存明细!F7</f>
        <v>滨江区龙湖天街店</v>
      </c>
      <c r="H23" s="16" t="str">
        <f>库存明细!H7</f>
        <v>1830795</v>
      </c>
      <c r="I23" s="16" t="str">
        <f>库存明细!I7</f>
        <v>脱骨侠蒜香酸甜辣无骨鸡爪780g</v>
      </c>
      <c r="J23" s="17">
        <f>库存明细!J7</f>
        <v>74</v>
      </c>
      <c r="K23" s="17">
        <f>库存明细!M7</f>
        <v>7</v>
      </c>
      <c r="L23" s="17">
        <f>库存明细!N7</f>
        <v>10.5714285714286</v>
      </c>
      <c r="M23" s="16" t="str">
        <f>库存明细!O7</f>
        <v>N</v>
      </c>
      <c r="N23" s="8">
        <f>SUMPRODUCT((库存明细!$A$2:$A$500=$C$3)*--((($F$3="全部")+(库存明细!$B$2:$B$500=$F$3))&gt;0)*--((($I$3="全部")+(库存明细!$C$2:$C$500=$I$3))&gt;0)*--((($L$3="全部")+(库存明细!$D$2:$D$500=$L$3))&gt;0)*--((库存明细!$C$2:$C$500=L23)&gt;0)*库存明细!$J$2:$J$500)</f>
        <v>181584</v>
      </c>
      <c r="O23" s="8">
        <f>SUMPRODUCT((库存明细!$A$2:$A$500=$C$3)*--((($F$3="全部")+(库存明细!$B$2:$B$500=$F$3))&gt;0)*--((($I$3="全部")+(库存明细!$C$2:$C$500=$I$3))&gt;0)*--((($L$3="全部")+(库存明细!$D$2:$D$500=$L$3))&gt;0)*--((库存明细!$C$2:$C$500=L23)&gt;0)*库存明细!$M$2:$M$500)</f>
        <v>22802</v>
      </c>
      <c r="P23" s="8">
        <f>IFERROR(N23/O23,"")</f>
        <v>7.96351197263398</v>
      </c>
      <c r="Q23" s="8"/>
      <c r="R23" s="8"/>
      <c r="S23" s="8"/>
      <c r="T23" s="8"/>
      <c r="U23" s="8"/>
    </row>
    <row r="24" ht="22" customHeight="1" spans="1:21">
      <c r="A24" s="8"/>
      <c r="B24" s="16">
        <f>库存明细!A8</f>
        <v>46172</v>
      </c>
      <c r="C24" s="16" t="str">
        <f>库存明细!B8</f>
        <v>天虹</v>
      </c>
      <c r="D24" s="16" t="str">
        <f>库存明细!C8</f>
        <v>华南</v>
      </c>
      <c r="E24" s="16" t="str">
        <f>库存明细!D8</f>
        <v>广东</v>
      </c>
      <c r="F24" s="16" t="str">
        <f>库存明细!E8</f>
        <v>104</v>
      </c>
      <c r="G24" s="16" t="str">
        <f>库存明细!F8</f>
        <v>深圳创业天虹</v>
      </c>
      <c r="H24" s="16" t="str">
        <f>库存明细!H8</f>
        <v>v000110869</v>
      </c>
      <c r="I24" s="16" t="str">
        <f>库存明细!I8</f>
        <v>脱骨侠双椒无骨鸭掌</v>
      </c>
      <c r="J24" s="17">
        <f>库存明细!J8</f>
        <v>5444</v>
      </c>
      <c r="K24" s="17">
        <f>库存明细!M8</f>
        <v>129</v>
      </c>
      <c r="L24" s="17">
        <f>库存明细!N8</f>
        <v>42.2015503875969</v>
      </c>
      <c r="M24" s="16" t="str">
        <f>库存明细!O8</f>
        <v>N</v>
      </c>
      <c r="N24" s="8">
        <f>SUMPRODUCT((库存明细!$A$2:$A$500=$C$3)*--((($F$3="全部")+(库存明细!$B$2:$B$500=$F$3))&gt;0)*--((($I$3="全部")+(库存明细!$C$2:$C$500=$I$3))&gt;0)*--((($L$3="全部")+(库存明细!$D$2:$D$500=$L$3))&gt;0)*--((库存明细!$C$2:$C$500=L24)&gt;0)*库存明细!$J$2:$J$500)</f>
        <v>181584</v>
      </c>
      <c r="O24" s="8">
        <f>SUMPRODUCT((库存明细!$A$2:$A$500=$C$3)*--((($F$3="全部")+(库存明细!$B$2:$B$500=$F$3))&gt;0)*--((($I$3="全部")+(库存明细!$C$2:$C$500=$I$3))&gt;0)*--((($L$3="全部")+(库存明细!$D$2:$D$500=$L$3))&gt;0)*--((库存明细!$C$2:$C$500=L24)&gt;0)*库存明细!$M$2:$M$500)</f>
        <v>22802</v>
      </c>
      <c r="P24" s="8">
        <f>IFERROR(N24/O24,"")</f>
        <v>7.96351197263398</v>
      </c>
      <c r="Q24" s="8"/>
      <c r="R24" s="8"/>
      <c r="S24" s="8"/>
      <c r="T24" s="8"/>
      <c r="U24" s="8"/>
    </row>
    <row r="25" ht="22" customHeight="1" spans="1:21">
      <c r="A25" s="8"/>
      <c r="B25" s="16">
        <f>库存明细!A9</f>
        <v>46172</v>
      </c>
      <c r="C25" s="16" t="str">
        <f>库存明细!B9</f>
        <v>比优特</v>
      </c>
      <c r="D25" s="16" t="str">
        <f>库存明细!C9</f>
        <v>东北</v>
      </c>
      <c r="E25" s="16" t="str">
        <f>库存明细!D9</f>
        <v>黑龙江</v>
      </c>
      <c r="F25" s="16" t="str">
        <f>库存明细!E9</f>
        <v>2201</v>
      </c>
      <c r="G25" s="16" t="str">
        <f>库存明细!F9</f>
        <v>麓林山店</v>
      </c>
      <c r="H25" s="16" t="str">
        <f>库存明细!H9</f>
        <v>1156752</v>
      </c>
      <c r="I25" s="16" t="str">
        <f>库存明细!I9</f>
        <v>脱骨侠无骨鸡爪蒜香酸甜辣780g</v>
      </c>
      <c r="J25" s="17">
        <f>库存明细!J9</f>
        <v>15925</v>
      </c>
      <c r="K25" s="17">
        <f>库存明细!M9</f>
        <v>31</v>
      </c>
      <c r="L25" s="17">
        <f>库存明细!N9</f>
        <v>513.709677419355</v>
      </c>
      <c r="M25" s="16" t="str">
        <f>库存明细!O9</f>
        <v>Y</v>
      </c>
      <c r="N25" s="8"/>
      <c r="O25" s="8"/>
      <c r="P25" s="8"/>
      <c r="Q25" s="8"/>
      <c r="R25" s="8"/>
      <c r="S25" s="8"/>
      <c r="T25" s="8"/>
      <c r="U25" s="8"/>
    </row>
    <row r="26" ht="22" customHeight="1" spans="1:21">
      <c r="A26" s="8"/>
      <c r="B26" s="16">
        <f>库存明细!A10</f>
        <v>46172</v>
      </c>
      <c r="C26" s="16" t="str">
        <f>库存明细!B10</f>
        <v>家得福</v>
      </c>
      <c r="D26" s="16" t="str">
        <f>库存明细!C10</f>
        <v>华东</v>
      </c>
      <c r="E26" s="16" t="str">
        <f>库存明细!D10</f>
        <v>江苏</v>
      </c>
      <c r="F26" s="16" t="str">
        <f>库存明细!E10</f>
        <v>1001</v>
      </c>
      <c r="G26" s="16" t="str">
        <f>库存明细!F10</f>
        <v>家得福海棠店</v>
      </c>
      <c r="H26" s="16" t="str">
        <f>库存明细!H10</f>
        <v>10081319</v>
      </c>
      <c r="I26" s="16" t="str">
        <f>库存明细!I10</f>
        <v>脱骨侠酸辣柠檬无骨鸡爪780g</v>
      </c>
      <c r="J26" s="17">
        <f>库存明细!J10</f>
        <v>315</v>
      </c>
      <c r="K26" s="17">
        <f>库存明细!M10</f>
        <v>6</v>
      </c>
      <c r="L26" s="17">
        <f>库存明细!N10</f>
        <v>52.5</v>
      </c>
      <c r="M26" s="16" t="str">
        <f>库存明细!O10</f>
        <v>N</v>
      </c>
      <c r="N26" s="8"/>
      <c r="O26" s="8"/>
      <c r="P26" s="8"/>
      <c r="Q26" s="8"/>
      <c r="R26" s="8"/>
      <c r="S26" s="8"/>
      <c r="T26" s="8"/>
      <c r="U26" s="8"/>
    </row>
    <row r="27" ht="22" customHeight="1" spans="1:21">
      <c r="A27" s="8"/>
      <c r="B27" s="16">
        <f>库存明细!A11</f>
        <v>0</v>
      </c>
      <c r="C27" s="16">
        <f>库存明细!B11</f>
        <v>0</v>
      </c>
      <c r="D27" s="16">
        <f>库存明细!C11</f>
        <v>0</v>
      </c>
      <c r="E27" s="16">
        <f>库存明细!D11</f>
        <v>0</v>
      </c>
      <c r="F27" s="16">
        <f>库存明细!E11</f>
        <v>0</v>
      </c>
      <c r="G27" s="16">
        <f>库存明细!F11</f>
        <v>0</v>
      </c>
      <c r="H27" s="16">
        <f>库存明细!H11</f>
        <v>0</v>
      </c>
      <c r="I27" s="16">
        <f>库存明细!I11</f>
        <v>0</v>
      </c>
      <c r="J27" s="17">
        <f>库存明细!J11</f>
        <v>0</v>
      </c>
      <c r="K27" s="17">
        <f>库存明细!M11</f>
        <v>0</v>
      </c>
      <c r="L27" s="17">
        <f>库存明细!N11</f>
        <v>0</v>
      </c>
      <c r="M27" s="16">
        <f>库存明细!O11</f>
        <v>0</v>
      </c>
      <c r="N27" s="8"/>
      <c r="O27" s="8"/>
      <c r="P27" s="8"/>
      <c r="Q27" s="8"/>
      <c r="R27" s="8"/>
      <c r="S27" s="8"/>
      <c r="T27" s="8"/>
      <c r="U27" s="8"/>
    </row>
    <row r="28" ht="22" customHeight="1" spans="1:21">
      <c r="A28" s="8"/>
      <c r="B28" s="16">
        <f>库存明细!A12</f>
        <v>0</v>
      </c>
      <c r="C28" s="16">
        <f>库存明细!B12</f>
        <v>0</v>
      </c>
      <c r="D28" s="16">
        <f>库存明细!C12</f>
        <v>0</v>
      </c>
      <c r="E28" s="16">
        <f>库存明细!D12</f>
        <v>0</v>
      </c>
      <c r="F28" s="16">
        <f>库存明细!E12</f>
        <v>0</v>
      </c>
      <c r="G28" s="16">
        <f>库存明细!F12</f>
        <v>0</v>
      </c>
      <c r="H28" s="16">
        <f>库存明细!H12</f>
        <v>0</v>
      </c>
      <c r="I28" s="16">
        <f>库存明细!I12</f>
        <v>0</v>
      </c>
      <c r="J28" s="17">
        <f>库存明细!J12</f>
        <v>0</v>
      </c>
      <c r="K28" s="17">
        <f>库存明细!M12</f>
        <v>0</v>
      </c>
      <c r="L28" s="17">
        <f>库存明细!N12</f>
        <v>0</v>
      </c>
      <c r="M28" s="16">
        <f>库存明细!O12</f>
        <v>0</v>
      </c>
      <c r="N28" s="8"/>
      <c r="O28" s="8"/>
      <c r="P28" s="8"/>
      <c r="Q28" s="8"/>
      <c r="R28" s="8"/>
      <c r="S28" s="8"/>
      <c r="T28" s="8"/>
      <c r="U28" s="8"/>
    </row>
    <row r="29" ht="22" customHeight="1" spans="1:21">
      <c r="A29" s="8"/>
      <c r="B29" s="16">
        <f>库存明细!A13</f>
        <v>0</v>
      </c>
      <c r="C29" s="16">
        <f>库存明细!B13</f>
        <v>0</v>
      </c>
      <c r="D29" s="16">
        <f>库存明细!C13</f>
        <v>0</v>
      </c>
      <c r="E29" s="16">
        <f>库存明细!D13</f>
        <v>0</v>
      </c>
      <c r="F29" s="16">
        <f>库存明细!E13</f>
        <v>0</v>
      </c>
      <c r="G29" s="16">
        <f>库存明细!F13</f>
        <v>0</v>
      </c>
      <c r="H29" s="16">
        <f>库存明细!H13</f>
        <v>0</v>
      </c>
      <c r="I29" s="16">
        <f>库存明细!I13</f>
        <v>0</v>
      </c>
      <c r="J29" s="17">
        <f>库存明细!J13</f>
        <v>0</v>
      </c>
      <c r="K29" s="17">
        <f>库存明细!M13</f>
        <v>0</v>
      </c>
      <c r="L29" s="17">
        <f>库存明细!N13</f>
        <v>0</v>
      </c>
      <c r="M29" s="16">
        <f>库存明细!O13</f>
        <v>0</v>
      </c>
      <c r="N29" s="8"/>
      <c r="O29" s="8"/>
      <c r="P29" s="8"/>
      <c r="Q29" s="8"/>
      <c r="R29" s="8"/>
      <c r="S29" s="8"/>
      <c r="T29" s="8"/>
      <c r="U29" s="8"/>
    </row>
    <row r="30" ht="22" customHeight="1" spans="1:21">
      <c r="A30" s="8"/>
      <c r="B30" s="16">
        <f>库存明细!A14</f>
        <v>0</v>
      </c>
      <c r="C30" s="16">
        <f>库存明细!B14</f>
        <v>0</v>
      </c>
      <c r="D30" s="16">
        <f>库存明细!C14</f>
        <v>0</v>
      </c>
      <c r="E30" s="16">
        <f>库存明细!D14</f>
        <v>0</v>
      </c>
      <c r="F30" s="16">
        <f>库存明细!E14</f>
        <v>0</v>
      </c>
      <c r="G30" s="16">
        <f>库存明细!F14</f>
        <v>0</v>
      </c>
      <c r="H30" s="16">
        <f>库存明细!H14</f>
        <v>0</v>
      </c>
      <c r="I30" s="16">
        <f>库存明细!I14</f>
        <v>0</v>
      </c>
      <c r="J30" s="17">
        <f>库存明细!J14</f>
        <v>0</v>
      </c>
      <c r="K30" s="17">
        <f>库存明细!M14</f>
        <v>0</v>
      </c>
      <c r="L30" s="17">
        <f>库存明细!N14</f>
        <v>0</v>
      </c>
      <c r="M30" s="16">
        <f>库存明细!O14</f>
        <v>0</v>
      </c>
      <c r="N30" s="8"/>
      <c r="O30" s="8"/>
      <c r="P30" s="8"/>
      <c r="Q30" s="8"/>
      <c r="R30" s="8"/>
      <c r="S30" s="8"/>
      <c r="T30" s="8"/>
      <c r="U30" s="8"/>
    </row>
    <row r="31" ht="22" customHeight="1" spans="1:21">
      <c r="A31" s="8"/>
      <c r="B31" s="16">
        <f>库存明细!A15</f>
        <v>0</v>
      </c>
      <c r="C31" s="16">
        <f>库存明细!B15</f>
        <v>0</v>
      </c>
      <c r="D31" s="16">
        <f>库存明细!C15</f>
        <v>0</v>
      </c>
      <c r="E31" s="16">
        <f>库存明细!D15</f>
        <v>0</v>
      </c>
      <c r="F31" s="16">
        <f>库存明细!E15</f>
        <v>0</v>
      </c>
      <c r="G31" s="16">
        <f>库存明细!F15</f>
        <v>0</v>
      </c>
      <c r="H31" s="16">
        <f>库存明细!H15</f>
        <v>0</v>
      </c>
      <c r="I31" s="16">
        <f>库存明细!I15</f>
        <v>0</v>
      </c>
      <c r="J31" s="17">
        <f>库存明细!J15</f>
        <v>0</v>
      </c>
      <c r="K31" s="17">
        <f>库存明细!M15</f>
        <v>0</v>
      </c>
      <c r="L31" s="17">
        <f>库存明细!N15</f>
        <v>0</v>
      </c>
      <c r="M31" s="16">
        <f>库存明细!O15</f>
        <v>0</v>
      </c>
      <c r="N31" s="8"/>
      <c r="O31" s="8"/>
      <c r="P31" s="8"/>
      <c r="Q31" s="8"/>
      <c r="R31" s="8"/>
      <c r="S31" s="8"/>
      <c r="T31" s="8"/>
      <c r="U31" s="8"/>
    </row>
    <row r="32" ht="22" customHeight="1" spans="1:21">
      <c r="A32" s="8"/>
      <c r="B32" s="16">
        <f>库存明细!A16</f>
        <v>0</v>
      </c>
      <c r="C32" s="16">
        <f>库存明细!B16</f>
        <v>0</v>
      </c>
      <c r="D32" s="16">
        <f>库存明细!C16</f>
        <v>0</v>
      </c>
      <c r="E32" s="16">
        <f>库存明细!D16</f>
        <v>0</v>
      </c>
      <c r="F32" s="16">
        <f>库存明细!E16</f>
        <v>0</v>
      </c>
      <c r="G32" s="16">
        <f>库存明细!F16</f>
        <v>0</v>
      </c>
      <c r="H32" s="16">
        <f>库存明细!H16</f>
        <v>0</v>
      </c>
      <c r="I32" s="16">
        <f>库存明细!I16</f>
        <v>0</v>
      </c>
      <c r="J32" s="17">
        <f>库存明细!J16</f>
        <v>0</v>
      </c>
      <c r="K32" s="17">
        <f>库存明细!M16</f>
        <v>0</v>
      </c>
      <c r="L32" s="17">
        <f>库存明细!N16</f>
        <v>0</v>
      </c>
      <c r="M32" s="16">
        <f>库存明细!O16</f>
        <v>0</v>
      </c>
      <c r="N32" s="8"/>
      <c r="O32" s="8"/>
      <c r="P32" s="8"/>
      <c r="Q32" s="8"/>
      <c r="R32" s="8"/>
      <c r="S32" s="8"/>
      <c r="T32" s="8"/>
      <c r="U32" s="8"/>
    </row>
    <row r="33" ht="22" customHeight="1" spans="1:21">
      <c r="A33" s="8"/>
      <c r="B33" s="16">
        <f>库存明细!A17</f>
        <v>0</v>
      </c>
      <c r="C33" s="16">
        <f>库存明细!B17</f>
        <v>0</v>
      </c>
      <c r="D33" s="16">
        <f>库存明细!C17</f>
        <v>0</v>
      </c>
      <c r="E33" s="16">
        <f>库存明细!D17</f>
        <v>0</v>
      </c>
      <c r="F33" s="16">
        <f>库存明细!E17</f>
        <v>0</v>
      </c>
      <c r="G33" s="16">
        <f>库存明细!F17</f>
        <v>0</v>
      </c>
      <c r="H33" s="16">
        <f>库存明细!H17</f>
        <v>0</v>
      </c>
      <c r="I33" s="16">
        <f>库存明细!I17</f>
        <v>0</v>
      </c>
      <c r="J33" s="17">
        <f>库存明细!J17</f>
        <v>0</v>
      </c>
      <c r="K33" s="17">
        <f>库存明细!M17</f>
        <v>0</v>
      </c>
      <c r="L33" s="17">
        <f>库存明细!N17</f>
        <v>0</v>
      </c>
      <c r="M33" s="16">
        <f>库存明细!O17</f>
        <v>0</v>
      </c>
      <c r="N33" s="8"/>
      <c r="O33" s="8"/>
      <c r="P33" s="8"/>
      <c r="Q33" s="8"/>
      <c r="R33" s="8"/>
      <c r="S33" s="8"/>
      <c r="T33" s="8"/>
      <c r="U33" s="8"/>
    </row>
    <row r="34" ht="22" customHeight="1" spans="1:21">
      <c r="A34" s="8"/>
      <c r="B34" s="16">
        <f>库存明细!A18</f>
        <v>0</v>
      </c>
      <c r="C34" s="16">
        <f>库存明细!B18</f>
        <v>0</v>
      </c>
      <c r="D34" s="16">
        <f>库存明细!C18</f>
        <v>0</v>
      </c>
      <c r="E34" s="16">
        <f>库存明细!D18</f>
        <v>0</v>
      </c>
      <c r="F34" s="16">
        <f>库存明细!E18</f>
        <v>0</v>
      </c>
      <c r="G34" s="16">
        <f>库存明细!F18</f>
        <v>0</v>
      </c>
      <c r="H34" s="16">
        <f>库存明细!H18</f>
        <v>0</v>
      </c>
      <c r="I34" s="16">
        <f>库存明细!I18</f>
        <v>0</v>
      </c>
      <c r="J34" s="17">
        <f>库存明细!J18</f>
        <v>0</v>
      </c>
      <c r="K34" s="17">
        <f>库存明细!M18</f>
        <v>0</v>
      </c>
      <c r="L34" s="17">
        <f>库存明细!N18</f>
        <v>0</v>
      </c>
      <c r="M34" s="16">
        <f>库存明细!O18</f>
        <v>0</v>
      </c>
      <c r="N34" s="8"/>
      <c r="O34" s="8"/>
      <c r="P34" s="8"/>
      <c r="Q34" s="8"/>
      <c r="R34" s="8"/>
      <c r="S34" s="8"/>
      <c r="T34" s="8"/>
      <c r="U34" s="8"/>
    </row>
    <row r="35" ht="22" customHeight="1" spans="1:21">
      <c r="A35" s="8"/>
      <c r="B35" s="16">
        <f>库存明细!A19</f>
        <v>0</v>
      </c>
      <c r="C35" s="16">
        <f>库存明细!B19</f>
        <v>0</v>
      </c>
      <c r="D35" s="16">
        <f>库存明细!C19</f>
        <v>0</v>
      </c>
      <c r="E35" s="16">
        <f>库存明细!D19</f>
        <v>0</v>
      </c>
      <c r="F35" s="16">
        <f>库存明细!E19</f>
        <v>0</v>
      </c>
      <c r="G35" s="16">
        <f>库存明细!F19</f>
        <v>0</v>
      </c>
      <c r="H35" s="16">
        <f>库存明细!H19</f>
        <v>0</v>
      </c>
      <c r="I35" s="16">
        <f>库存明细!I19</f>
        <v>0</v>
      </c>
      <c r="J35" s="17">
        <f>库存明细!J19</f>
        <v>0</v>
      </c>
      <c r="K35" s="17">
        <f>库存明细!M19</f>
        <v>0</v>
      </c>
      <c r="L35" s="17">
        <f>库存明细!N19</f>
        <v>0</v>
      </c>
      <c r="M35" s="16">
        <f>库存明细!O19</f>
        <v>0</v>
      </c>
      <c r="N35" s="8"/>
      <c r="O35" s="8"/>
      <c r="P35" s="8"/>
      <c r="Q35" s="8"/>
      <c r="R35" s="8"/>
      <c r="S35" s="8"/>
      <c r="T35" s="8"/>
      <c r="U35" s="8"/>
    </row>
    <row r="36" ht="22" customHeight="1" spans="1:21">
      <c r="A36" s="8"/>
      <c r="B36" s="16">
        <f>库存明细!A20</f>
        <v>0</v>
      </c>
      <c r="C36" s="16">
        <f>库存明细!B20</f>
        <v>0</v>
      </c>
      <c r="D36" s="16">
        <f>库存明细!C20</f>
        <v>0</v>
      </c>
      <c r="E36" s="16">
        <f>库存明细!D20</f>
        <v>0</v>
      </c>
      <c r="F36" s="16">
        <f>库存明细!E20</f>
        <v>0</v>
      </c>
      <c r="G36" s="16">
        <f>库存明细!F20</f>
        <v>0</v>
      </c>
      <c r="H36" s="16">
        <f>库存明细!H20</f>
        <v>0</v>
      </c>
      <c r="I36" s="16">
        <f>库存明细!I20</f>
        <v>0</v>
      </c>
      <c r="J36" s="17">
        <f>库存明细!J20</f>
        <v>0</v>
      </c>
      <c r="K36" s="17">
        <f>库存明细!M20</f>
        <v>0</v>
      </c>
      <c r="L36" s="17">
        <f>库存明细!N20</f>
        <v>0</v>
      </c>
      <c r="M36" s="16">
        <f>库存明细!O20</f>
        <v>0</v>
      </c>
      <c r="N36" s="8"/>
      <c r="O36" s="8"/>
      <c r="P36" s="8"/>
      <c r="Q36" s="8"/>
      <c r="R36" s="8"/>
      <c r="S36" s="8"/>
      <c r="T36" s="8"/>
      <c r="U36" s="8"/>
    </row>
    <row r="37" ht="22" customHeight="1" spans="1:21">
      <c r="A37" s="8"/>
      <c r="B37" s="16">
        <f>库存明细!A21</f>
        <v>0</v>
      </c>
      <c r="C37" s="16">
        <f>库存明细!B21</f>
        <v>0</v>
      </c>
      <c r="D37" s="16">
        <f>库存明细!C21</f>
        <v>0</v>
      </c>
      <c r="E37" s="16">
        <f>库存明细!D21</f>
        <v>0</v>
      </c>
      <c r="F37" s="16">
        <f>库存明细!E21</f>
        <v>0</v>
      </c>
      <c r="G37" s="16">
        <f>库存明细!F21</f>
        <v>0</v>
      </c>
      <c r="H37" s="16">
        <f>库存明细!H21</f>
        <v>0</v>
      </c>
      <c r="I37" s="16">
        <f>库存明细!I21</f>
        <v>0</v>
      </c>
      <c r="J37" s="17">
        <f>库存明细!J21</f>
        <v>0</v>
      </c>
      <c r="K37" s="17">
        <f>库存明细!M21</f>
        <v>0</v>
      </c>
      <c r="L37" s="17">
        <f>库存明细!N21</f>
        <v>0</v>
      </c>
      <c r="M37" s="16">
        <f>库存明细!O21</f>
        <v>0</v>
      </c>
      <c r="N37" s="8"/>
      <c r="O37" s="8"/>
      <c r="P37" s="8"/>
      <c r="Q37" s="8"/>
      <c r="R37" s="8"/>
      <c r="S37" s="8"/>
      <c r="T37" s="8"/>
      <c r="U37" s="8"/>
    </row>
    <row r="38" ht="22" customHeight="1" spans="1:21">
      <c r="A38" s="8"/>
      <c r="B38" s="16">
        <f>库存明细!A22</f>
        <v>0</v>
      </c>
      <c r="C38" s="16">
        <f>库存明细!B22</f>
        <v>0</v>
      </c>
      <c r="D38" s="16">
        <f>库存明细!C22</f>
        <v>0</v>
      </c>
      <c r="E38" s="16">
        <f>库存明细!D22</f>
        <v>0</v>
      </c>
      <c r="F38" s="16">
        <f>库存明细!E22</f>
        <v>0</v>
      </c>
      <c r="G38" s="16">
        <f>库存明细!F22</f>
        <v>0</v>
      </c>
      <c r="H38" s="16">
        <f>库存明细!H22</f>
        <v>0</v>
      </c>
      <c r="I38" s="16">
        <f>库存明细!I22</f>
        <v>0</v>
      </c>
      <c r="J38" s="17">
        <f>库存明细!J22</f>
        <v>0</v>
      </c>
      <c r="K38" s="17">
        <f>库存明细!M22</f>
        <v>0</v>
      </c>
      <c r="L38" s="17">
        <f>库存明细!N22</f>
        <v>0</v>
      </c>
      <c r="M38" s="16">
        <f>库存明细!O22</f>
        <v>0</v>
      </c>
      <c r="N38" s="8"/>
      <c r="O38" s="8"/>
      <c r="P38" s="8"/>
      <c r="Q38" s="8"/>
      <c r="R38" s="8"/>
      <c r="S38" s="8"/>
      <c r="T38" s="8"/>
      <c r="U38" s="8"/>
    </row>
    <row r="39" ht="22" customHeight="1" spans="1:21">
      <c r="A39" s="8"/>
      <c r="B39" s="16">
        <f>库存明细!A23</f>
        <v>0</v>
      </c>
      <c r="C39" s="16">
        <f>库存明细!B23</f>
        <v>0</v>
      </c>
      <c r="D39" s="16">
        <f>库存明细!C23</f>
        <v>0</v>
      </c>
      <c r="E39" s="16">
        <f>库存明细!D23</f>
        <v>0</v>
      </c>
      <c r="F39" s="16">
        <f>库存明细!E23</f>
        <v>0</v>
      </c>
      <c r="G39" s="16">
        <f>库存明细!F23</f>
        <v>0</v>
      </c>
      <c r="H39" s="16">
        <f>库存明细!H23</f>
        <v>0</v>
      </c>
      <c r="I39" s="16">
        <f>库存明细!I23</f>
        <v>0</v>
      </c>
      <c r="J39" s="17">
        <f>库存明细!J23</f>
        <v>0</v>
      </c>
      <c r="K39" s="17">
        <f>库存明细!M23</f>
        <v>0</v>
      </c>
      <c r="L39" s="17">
        <f>库存明细!N23</f>
        <v>0</v>
      </c>
      <c r="M39" s="16">
        <f>库存明细!O23</f>
        <v>0</v>
      </c>
      <c r="N39" s="8"/>
      <c r="O39" s="8"/>
      <c r="P39" s="8"/>
      <c r="Q39" s="8"/>
      <c r="R39" s="8"/>
      <c r="S39" s="8"/>
      <c r="T39" s="8"/>
      <c r="U39" s="8"/>
    </row>
    <row r="40" ht="22" customHeight="1" spans="1:21">
      <c r="A40" s="8"/>
      <c r="B40" s="16">
        <f>库存明细!A24</f>
        <v>0</v>
      </c>
      <c r="C40" s="16">
        <f>库存明细!B24</f>
        <v>0</v>
      </c>
      <c r="D40" s="16">
        <f>库存明细!C24</f>
        <v>0</v>
      </c>
      <c r="E40" s="16">
        <f>库存明细!D24</f>
        <v>0</v>
      </c>
      <c r="F40" s="16">
        <f>库存明细!E24</f>
        <v>0</v>
      </c>
      <c r="G40" s="16">
        <f>库存明细!F24</f>
        <v>0</v>
      </c>
      <c r="H40" s="16">
        <f>库存明细!H24</f>
        <v>0</v>
      </c>
      <c r="I40" s="16">
        <f>库存明细!I24</f>
        <v>0</v>
      </c>
      <c r="J40" s="17">
        <f>库存明细!J24</f>
        <v>0</v>
      </c>
      <c r="K40" s="17">
        <f>库存明细!M24</f>
        <v>0</v>
      </c>
      <c r="L40" s="17">
        <f>库存明细!N24</f>
        <v>0</v>
      </c>
      <c r="M40" s="16">
        <f>库存明细!O24</f>
        <v>0</v>
      </c>
      <c r="N40" s="8"/>
      <c r="O40" s="8"/>
      <c r="P40" s="8"/>
      <c r="Q40" s="8"/>
      <c r="R40" s="8"/>
      <c r="S40" s="8"/>
      <c r="T40" s="8"/>
      <c r="U40" s="8"/>
    </row>
    <row r="41" ht="22" customHeight="1" spans="1:21">
      <c r="A41" s="8"/>
      <c r="B41" s="16">
        <f>库存明细!A25</f>
        <v>0</v>
      </c>
      <c r="C41" s="16">
        <f>库存明细!B25</f>
        <v>0</v>
      </c>
      <c r="D41" s="16">
        <f>库存明细!C25</f>
        <v>0</v>
      </c>
      <c r="E41" s="16">
        <f>库存明细!D25</f>
        <v>0</v>
      </c>
      <c r="F41" s="16">
        <f>库存明细!E25</f>
        <v>0</v>
      </c>
      <c r="G41" s="16">
        <f>库存明细!F25</f>
        <v>0</v>
      </c>
      <c r="H41" s="16">
        <f>库存明细!H25</f>
        <v>0</v>
      </c>
      <c r="I41" s="16">
        <f>库存明细!I25</f>
        <v>0</v>
      </c>
      <c r="J41" s="17">
        <f>库存明细!J25</f>
        <v>0</v>
      </c>
      <c r="K41" s="17">
        <f>库存明细!M25</f>
        <v>0</v>
      </c>
      <c r="L41" s="17">
        <f>库存明细!N25</f>
        <v>0</v>
      </c>
      <c r="M41" s="16">
        <f>库存明细!O25</f>
        <v>0</v>
      </c>
      <c r="N41" s="8"/>
      <c r="O41" s="8"/>
      <c r="P41" s="8"/>
      <c r="Q41" s="8"/>
      <c r="R41" s="8"/>
      <c r="S41" s="8"/>
      <c r="T41" s="8"/>
      <c r="U41" s="8"/>
    </row>
    <row r="42" ht="22" customHeight="1" spans="1:21">
      <c r="A42" s="8"/>
      <c r="B42" s="16">
        <f>库存明细!A26</f>
        <v>0</v>
      </c>
      <c r="C42" s="16">
        <f>库存明细!B26</f>
        <v>0</v>
      </c>
      <c r="D42" s="16">
        <f>库存明细!C26</f>
        <v>0</v>
      </c>
      <c r="E42" s="16">
        <f>库存明细!D26</f>
        <v>0</v>
      </c>
      <c r="F42" s="16">
        <f>库存明细!E26</f>
        <v>0</v>
      </c>
      <c r="G42" s="16">
        <f>库存明细!F26</f>
        <v>0</v>
      </c>
      <c r="H42" s="16">
        <f>库存明细!H26</f>
        <v>0</v>
      </c>
      <c r="I42" s="16">
        <f>库存明细!I26</f>
        <v>0</v>
      </c>
      <c r="J42" s="17">
        <f>库存明细!J26</f>
        <v>0</v>
      </c>
      <c r="K42" s="17">
        <f>库存明细!M26</f>
        <v>0</v>
      </c>
      <c r="L42" s="17">
        <f>库存明细!N26</f>
        <v>0</v>
      </c>
      <c r="M42" s="16">
        <f>库存明细!O26</f>
        <v>0</v>
      </c>
      <c r="N42" s="8"/>
      <c r="O42" s="8"/>
      <c r="P42" s="8"/>
      <c r="Q42" s="8"/>
      <c r="R42" s="8"/>
      <c r="S42" s="8"/>
      <c r="T42" s="8"/>
      <c r="U42" s="8"/>
    </row>
    <row r="43" ht="22" customHeight="1" spans="1:21">
      <c r="A43" s="8"/>
      <c r="B43" s="16">
        <f>库存明细!A27</f>
        <v>0</v>
      </c>
      <c r="C43" s="16">
        <f>库存明细!B27</f>
        <v>0</v>
      </c>
      <c r="D43" s="16">
        <f>库存明细!C27</f>
        <v>0</v>
      </c>
      <c r="E43" s="16">
        <f>库存明细!D27</f>
        <v>0</v>
      </c>
      <c r="F43" s="16">
        <f>库存明细!E27</f>
        <v>0</v>
      </c>
      <c r="G43" s="16">
        <f>库存明细!F27</f>
        <v>0</v>
      </c>
      <c r="H43" s="16">
        <f>库存明细!H27</f>
        <v>0</v>
      </c>
      <c r="I43" s="16">
        <f>库存明细!I27</f>
        <v>0</v>
      </c>
      <c r="J43" s="17">
        <f>库存明细!J27</f>
        <v>0</v>
      </c>
      <c r="K43" s="17">
        <f>库存明细!M27</f>
        <v>0</v>
      </c>
      <c r="L43" s="17">
        <f>库存明细!N27</f>
        <v>0</v>
      </c>
      <c r="M43" s="16">
        <f>库存明细!O27</f>
        <v>0</v>
      </c>
      <c r="N43" s="8"/>
      <c r="O43" s="8"/>
      <c r="P43" s="8"/>
      <c r="Q43" s="8"/>
      <c r="R43" s="8"/>
      <c r="S43" s="8"/>
      <c r="T43" s="8"/>
      <c r="U43" s="8"/>
    </row>
    <row r="44" ht="22" customHeight="1" spans="1:21">
      <c r="A44" s="8"/>
      <c r="B44" s="16">
        <f>库存明细!A28</f>
        <v>0</v>
      </c>
      <c r="C44" s="16">
        <f>库存明细!B28</f>
        <v>0</v>
      </c>
      <c r="D44" s="16">
        <f>库存明细!C28</f>
        <v>0</v>
      </c>
      <c r="E44" s="16">
        <f>库存明细!D28</f>
        <v>0</v>
      </c>
      <c r="F44" s="16">
        <f>库存明细!E28</f>
        <v>0</v>
      </c>
      <c r="G44" s="16">
        <f>库存明细!F28</f>
        <v>0</v>
      </c>
      <c r="H44" s="16">
        <f>库存明细!H28</f>
        <v>0</v>
      </c>
      <c r="I44" s="16">
        <f>库存明细!I28</f>
        <v>0</v>
      </c>
      <c r="J44" s="17">
        <f>库存明细!J28</f>
        <v>0</v>
      </c>
      <c r="K44" s="17">
        <f>库存明细!M28</f>
        <v>0</v>
      </c>
      <c r="L44" s="17">
        <f>库存明细!N28</f>
        <v>0</v>
      </c>
      <c r="M44" s="16">
        <f>库存明细!O28</f>
        <v>0</v>
      </c>
      <c r="N44" s="8"/>
      <c r="O44" s="8"/>
      <c r="P44" s="8"/>
      <c r="Q44" s="8"/>
      <c r="R44" s="8"/>
      <c r="S44" s="8"/>
      <c r="T44" s="8"/>
      <c r="U44" s="8"/>
    </row>
    <row r="45" ht="22" customHeight="1" spans="1:21">
      <c r="A45" s="8"/>
      <c r="B45" s="16">
        <f>库存明细!A29</f>
        <v>0</v>
      </c>
      <c r="C45" s="16">
        <f>库存明细!B29</f>
        <v>0</v>
      </c>
      <c r="D45" s="16">
        <f>库存明细!C29</f>
        <v>0</v>
      </c>
      <c r="E45" s="16">
        <f>库存明细!D29</f>
        <v>0</v>
      </c>
      <c r="F45" s="16">
        <f>库存明细!E29</f>
        <v>0</v>
      </c>
      <c r="G45" s="16">
        <f>库存明细!F29</f>
        <v>0</v>
      </c>
      <c r="H45" s="16">
        <f>库存明细!H29</f>
        <v>0</v>
      </c>
      <c r="I45" s="16">
        <f>库存明细!I29</f>
        <v>0</v>
      </c>
      <c r="J45" s="17">
        <f>库存明细!J29</f>
        <v>0</v>
      </c>
      <c r="K45" s="17">
        <f>库存明细!M29</f>
        <v>0</v>
      </c>
      <c r="L45" s="17">
        <f>库存明细!N29</f>
        <v>0</v>
      </c>
      <c r="M45" s="16">
        <f>库存明细!O29</f>
        <v>0</v>
      </c>
      <c r="N45" s="8"/>
      <c r="O45" s="8"/>
      <c r="P45" s="8"/>
      <c r="Q45" s="8"/>
      <c r="R45" s="8"/>
      <c r="S45" s="8"/>
      <c r="T45" s="8"/>
      <c r="U45" s="8"/>
    </row>
    <row r="46" ht="22" customHeight="1" spans="1:21">
      <c r="A46" s="8"/>
      <c r="B46" s="8">
        <f>库存明细!A30</f>
        <v>0</v>
      </c>
      <c r="C46" s="8">
        <f>库存明细!B30</f>
        <v>0</v>
      </c>
      <c r="D46" s="8">
        <f>库存明细!C30</f>
        <v>0</v>
      </c>
      <c r="E46" s="8">
        <f>库存明细!D30</f>
        <v>0</v>
      </c>
      <c r="F46" s="8">
        <f>库存明细!E30</f>
        <v>0</v>
      </c>
      <c r="G46" s="8">
        <f>库存明细!F30</f>
        <v>0</v>
      </c>
      <c r="H46" s="8">
        <f>库存明细!H30</f>
        <v>0</v>
      </c>
      <c r="I46" s="8">
        <f>库存明细!I30</f>
        <v>0</v>
      </c>
      <c r="J46" s="8">
        <f>库存明细!J30</f>
        <v>0</v>
      </c>
      <c r="K46" s="8">
        <f>库存明细!M30</f>
        <v>0</v>
      </c>
      <c r="L46" s="8">
        <f>库存明细!N30</f>
        <v>0</v>
      </c>
      <c r="M46" s="8">
        <f>库存明细!O30</f>
        <v>0</v>
      </c>
      <c r="N46" s="8"/>
      <c r="O46" s="8"/>
      <c r="P46" s="8"/>
      <c r="Q46" s="8"/>
      <c r="R46" s="8"/>
      <c r="S46" s="8"/>
      <c r="T46" s="8"/>
      <c r="U46" s="8"/>
    </row>
    <row r="47" ht="22" customHeight="1" spans="1:2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ht="22" customHeight="1" spans="1:2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ht="22" customHeight="1" spans="1:2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ht="22" customHeight="1" spans="1:2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ht="22" customHeight="1" spans="1:2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ht="22" customHeight="1" spans="1:2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ht="22" customHeight="1" spans="1:2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ht="22" customHeight="1" spans="1:2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ht="22" customHeight="1" spans="1:2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ht="22" customHeight="1" spans="1:2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ht="22" customHeight="1" spans="1:2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 ht="22" customHeight="1" spans="1:2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ht="22" customHeight="1" spans="1:2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 ht="22" customHeight="1" spans="1:2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ht="22" customHeight="1" spans="1:2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ht="22" customHeight="1" spans="1:2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ht="22" customHeight="1" spans="1:2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 ht="22" customHeight="1" spans="1:2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r="65" ht="22" customHeight="1" spans="1:2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ht="22" customHeight="1" spans="1:2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ht="22" customHeight="1" spans="1:2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ht="22" customHeight="1" spans="1:2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ht="22" customHeight="1" spans="1:2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 ht="22" customHeight="1" spans="1:2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  <row r="71" ht="22" customHeight="1" spans="1:2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r="72" ht="22" customHeight="1" spans="1:2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</row>
    <row r="73" ht="22" customHeight="1" spans="1:2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ht="22" customHeight="1" spans="1:2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ht="22" customHeight="1" spans="1:2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 ht="22" customHeight="1" spans="1:2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 ht="22" customHeight="1" spans="1:2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 ht="22" customHeight="1" spans="1:2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r="79" ht="22" customHeight="1" spans="1:2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ht="22" customHeight="1" spans="1:2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 ht="22" customHeight="1" spans="1:2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 ht="22" customHeight="1" spans="1:2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 ht="22" customHeight="1" spans="1:2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 ht="22" customHeight="1" spans="1:2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r="85" ht="22" customHeight="1" spans="1:2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 ht="22" customHeight="1" spans="1:2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ht="22" customHeight="1" spans="1:2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</row>
    <row r="88" ht="22" customHeight="1" spans="1:2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</row>
    <row r="89" ht="22" customHeight="1" spans="1:2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r="90" spans="1:2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</row>
  </sheetData>
  <mergeCells count="4">
    <mergeCell ref="A1:U1"/>
    <mergeCell ref="A2:U2"/>
    <mergeCell ref="B5:J5"/>
    <mergeCell ref="B15:J15"/>
  </mergeCells>
  <conditionalFormatting sqref="D7:D11">
    <cfRule type="cellIs" dxfId="0" priority="1" operator="greaterThan">
      <formula>0</formula>
    </cfRule>
  </conditionalFormatting>
  <dataValidations count="3">
    <dataValidation type="list" sqref="F3">
      <formula1>"全部,大润发,盒马,华润,沃尔玛,永辉,天虹,比优特,家得福"</formula1>
    </dataValidation>
    <dataValidation type="list" sqref="I3">
      <formula1>"全部,华东,华南,华北,华中,西北,东北"</formula1>
    </dataValidation>
    <dataValidation type="list" sqref="L3">
      <formula1>"全部,上海,江苏,广东,北京,湖北,浙江,黑龙江,天津"</formula1>
    </dataValidation>
  </dataValidation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2" customWidth="1"/>
    <col min="2" max="2" width="13" customWidth="1"/>
    <col min="3" max="3" width="10" customWidth="1"/>
    <col min="4" max="4" width="13" customWidth="1"/>
    <col min="5" max="5" width="12" customWidth="1"/>
    <col min="6" max="6" width="24" customWidth="1"/>
    <col min="7" max="7" width="9" customWidth="1"/>
    <col min="8" max="8" width="14" customWidth="1"/>
    <col min="9" max="9" width="16" customWidth="1"/>
    <col min="10" max="10" width="32" customWidth="1"/>
    <col min="11" max="11" width="12" customWidth="1"/>
    <col min="12" max="12" width="10" customWidth="1"/>
    <col min="13" max="13" width="12" customWidth="1"/>
    <col min="14" max="14" width="13" customWidth="1"/>
    <col min="15" max="15" width="14" customWidth="1"/>
    <col min="16" max="16" width="10" customWidth="1"/>
    <col min="17" max="17" width="13" customWidth="1"/>
    <col min="18" max="18" width="20" customWidth="1"/>
  </cols>
  <sheetData>
    <row r="1" spans="1:18">
      <c r="A1" s="1" t="s">
        <v>108</v>
      </c>
      <c r="B1" s="1" t="s">
        <v>3</v>
      </c>
      <c r="C1" s="1" t="s">
        <v>5</v>
      </c>
      <c r="D1" s="1" t="s">
        <v>69</v>
      </c>
      <c r="E1" s="1" t="s">
        <v>109</v>
      </c>
      <c r="F1" s="1" t="s">
        <v>110</v>
      </c>
      <c r="G1" s="1" t="s">
        <v>146</v>
      </c>
      <c r="H1" s="1" t="s">
        <v>84</v>
      </c>
      <c r="I1" s="1" t="s">
        <v>147</v>
      </c>
      <c r="J1" s="1" t="s">
        <v>85</v>
      </c>
      <c r="K1" s="1" t="s">
        <v>148</v>
      </c>
      <c r="L1" s="1" t="s">
        <v>149</v>
      </c>
      <c r="M1" s="1" t="s">
        <v>100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86</v>
      </c>
    </row>
    <row r="2" spans="1:18">
      <c r="A2" s="2">
        <v>46166</v>
      </c>
      <c r="B2" s="3" t="s">
        <v>75</v>
      </c>
      <c r="C2" s="3" t="s">
        <v>131</v>
      </c>
      <c r="D2" s="3" t="s">
        <v>154</v>
      </c>
      <c r="E2" s="3" t="s">
        <v>155</v>
      </c>
      <c r="F2" s="3" t="s">
        <v>156</v>
      </c>
      <c r="G2" s="3" t="s">
        <v>157</v>
      </c>
      <c r="H2" s="3" t="s">
        <v>87</v>
      </c>
      <c r="I2" s="3" t="s">
        <v>158</v>
      </c>
      <c r="J2" s="3" t="s">
        <v>88</v>
      </c>
      <c r="K2" s="3" t="s">
        <v>159</v>
      </c>
      <c r="L2" s="3" t="s">
        <v>160</v>
      </c>
      <c r="M2" s="3" t="s">
        <v>103</v>
      </c>
      <c r="N2" s="5">
        <v>210</v>
      </c>
      <c r="O2" s="5">
        <v>4675</v>
      </c>
      <c r="P2" s="3" t="s">
        <v>161</v>
      </c>
      <c r="Q2" s="3" t="s">
        <v>162</v>
      </c>
      <c r="R2" s="3" t="s">
        <v>163</v>
      </c>
    </row>
    <row r="3" spans="1:18">
      <c r="A3" s="2">
        <v>46166</v>
      </c>
      <c r="B3" s="3" t="s">
        <v>75</v>
      </c>
      <c r="C3" s="3" t="s">
        <v>131</v>
      </c>
      <c r="D3" s="3" t="s">
        <v>164</v>
      </c>
      <c r="E3" s="3" t="s">
        <v>165</v>
      </c>
      <c r="F3" s="3" t="s">
        <v>166</v>
      </c>
      <c r="G3" s="3" t="s">
        <v>157</v>
      </c>
      <c r="H3" s="3" t="s">
        <v>167</v>
      </c>
      <c r="I3" s="3" t="s">
        <v>168</v>
      </c>
      <c r="J3" s="3" t="s">
        <v>169</v>
      </c>
      <c r="K3" s="3" t="s">
        <v>159</v>
      </c>
      <c r="L3" s="3" t="s">
        <v>160</v>
      </c>
      <c r="M3" s="3" t="s">
        <v>104</v>
      </c>
      <c r="N3" s="5">
        <v>86</v>
      </c>
      <c r="O3" s="5">
        <v>1978</v>
      </c>
      <c r="P3" s="3" t="s">
        <v>161</v>
      </c>
      <c r="Q3" s="3" t="s">
        <v>162</v>
      </c>
      <c r="R3" s="3" t="s">
        <v>163</v>
      </c>
    </row>
    <row r="4" spans="1:18">
      <c r="A4" s="2">
        <v>46167</v>
      </c>
      <c r="B4" s="3" t="s">
        <v>75</v>
      </c>
      <c r="C4" s="3" t="s">
        <v>132</v>
      </c>
      <c r="D4" s="3" t="s">
        <v>170</v>
      </c>
      <c r="E4" s="3" t="s">
        <v>171</v>
      </c>
      <c r="F4" s="3" t="s">
        <v>172</v>
      </c>
      <c r="G4" s="3" t="s">
        <v>157</v>
      </c>
      <c r="H4" s="3" t="s">
        <v>89</v>
      </c>
      <c r="I4" s="3" t="s">
        <v>173</v>
      </c>
      <c r="J4" s="3" t="s">
        <v>90</v>
      </c>
      <c r="K4" s="3" t="s">
        <v>174</v>
      </c>
      <c r="L4" s="3" t="s">
        <v>175</v>
      </c>
      <c r="M4" s="3" t="s">
        <v>105</v>
      </c>
      <c r="N4" s="5">
        <v>134</v>
      </c>
      <c r="O4" s="5">
        <v>3350</v>
      </c>
      <c r="P4" s="3" t="s">
        <v>161</v>
      </c>
      <c r="Q4" s="3" t="s">
        <v>162</v>
      </c>
      <c r="R4" s="3" t="s">
        <v>163</v>
      </c>
    </row>
    <row r="5" spans="1:18">
      <c r="A5" s="2">
        <v>46167</v>
      </c>
      <c r="B5" s="3" t="s">
        <v>78</v>
      </c>
      <c r="C5" s="3" t="s">
        <v>132</v>
      </c>
      <c r="D5" s="3" t="s">
        <v>170</v>
      </c>
      <c r="E5" s="3" t="s">
        <v>176</v>
      </c>
      <c r="F5" s="3" t="s">
        <v>177</v>
      </c>
      <c r="G5" s="3" t="s">
        <v>157</v>
      </c>
      <c r="H5" s="3" t="s">
        <v>91</v>
      </c>
      <c r="I5" s="3" t="s">
        <v>178</v>
      </c>
      <c r="J5" s="3" t="s">
        <v>92</v>
      </c>
      <c r="K5" s="3" t="s">
        <v>159</v>
      </c>
      <c r="L5" s="3" t="s">
        <v>160</v>
      </c>
      <c r="M5" s="3" t="s">
        <v>101</v>
      </c>
      <c r="N5" s="5">
        <v>190</v>
      </c>
      <c r="O5" s="5">
        <v>3800</v>
      </c>
      <c r="P5" s="3" t="s">
        <v>179</v>
      </c>
      <c r="Q5" s="3" t="s">
        <v>162</v>
      </c>
      <c r="R5" s="3" t="s">
        <v>163</v>
      </c>
    </row>
    <row r="6" spans="1:18">
      <c r="A6" s="2">
        <v>46168</v>
      </c>
      <c r="B6" s="3" t="s">
        <v>77</v>
      </c>
      <c r="C6" s="3" t="s">
        <v>133</v>
      </c>
      <c r="D6" s="3" t="s">
        <v>180</v>
      </c>
      <c r="E6" s="3" t="s">
        <v>181</v>
      </c>
      <c r="F6" s="3" t="s">
        <v>182</v>
      </c>
      <c r="G6" s="3" t="s">
        <v>157</v>
      </c>
      <c r="H6" s="3" t="s">
        <v>134</v>
      </c>
      <c r="I6" s="3" t="s">
        <v>183</v>
      </c>
      <c r="J6" s="3" t="s">
        <v>135</v>
      </c>
      <c r="K6" s="3" t="s">
        <v>159</v>
      </c>
      <c r="L6" s="3" t="s">
        <v>160</v>
      </c>
      <c r="M6" s="3" t="s">
        <v>103</v>
      </c>
      <c r="N6" s="5">
        <v>150</v>
      </c>
      <c r="O6" s="5">
        <v>2895</v>
      </c>
      <c r="P6" s="3" t="s">
        <v>161</v>
      </c>
      <c r="Q6" s="3" t="s">
        <v>162</v>
      </c>
      <c r="R6" s="3" t="s">
        <v>163</v>
      </c>
    </row>
    <row r="7" spans="1:18">
      <c r="A7" s="2">
        <v>46168</v>
      </c>
      <c r="B7" s="3" t="s">
        <v>76</v>
      </c>
      <c r="C7" s="3" t="s">
        <v>136</v>
      </c>
      <c r="D7" s="3" t="s">
        <v>184</v>
      </c>
      <c r="E7" s="3" t="s">
        <v>185</v>
      </c>
      <c r="F7" s="3" t="s">
        <v>186</v>
      </c>
      <c r="G7" s="3" t="s">
        <v>157</v>
      </c>
      <c r="H7" s="3" t="s">
        <v>93</v>
      </c>
      <c r="I7" s="3" t="s">
        <v>187</v>
      </c>
      <c r="J7" s="3" t="s">
        <v>94</v>
      </c>
      <c r="K7" s="3" t="s">
        <v>188</v>
      </c>
      <c r="L7" s="3" t="s">
        <v>175</v>
      </c>
      <c r="M7" s="3" t="s">
        <v>101</v>
      </c>
      <c r="N7" s="5">
        <v>980</v>
      </c>
      <c r="O7" s="5">
        <v>12740</v>
      </c>
      <c r="P7" s="3" t="s">
        <v>161</v>
      </c>
      <c r="Q7" s="3" t="s">
        <v>162</v>
      </c>
      <c r="R7" s="3" t="s">
        <v>163</v>
      </c>
    </row>
    <row r="8" spans="1:18">
      <c r="A8" s="2">
        <v>46169</v>
      </c>
      <c r="B8" s="3" t="s">
        <v>79</v>
      </c>
      <c r="C8" s="3" t="s">
        <v>131</v>
      </c>
      <c r="D8" s="3" t="s">
        <v>189</v>
      </c>
      <c r="E8" s="3" t="s">
        <v>190</v>
      </c>
      <c r="F8" s="3" t="s">
        <v>191</v>
      </c>
      <c r="G8" s="3" t="s">
        <v>157</v>
      </c>
      <c r="H8" s="3" t="s">
        <v>192</v>
      </c>
      <c r="I8" s="3" t="s">
        <v>193</v>
      </c>
      <c r="J8" s="3" t="s">
        <v>194</v>
      </c>
      <c r="K8" s="3" t="s">
        <v>195</v>
      </c>
      <c r="L8" s="3" t="s">
        <v>175</v>
      </c>
      <c r="M8" s="3" t="s">
        <v>101</v>
      </c>
      <c r="N8" s="5">
        <v>52</v>
      </c>
      <c r="O8" s="5">
        <v>2225</v>
      </c>
      <c r="P8" s="3" t="s">
        <v>161</v>
      </c>
      <c r="Q8" s="3" t="s">
        <v>162</v>
      </c>
      <c r="R8" s="3" t="s">
        <v>163</v>
      </c>
    </row>
    <row r="9" spans="1:18">
      <c r="A9" s="2">
        <v>46169</v>
      </c>
      <c r="B9" s="3" t="s">
        <v>80</v>
      </c>
      <c r="C9" s="3" t="s">
        <v>132</v>
      </c>
      <c r="D9" s="3" t="s">
        <v>170</v>
      </c>
      <c r="E9" s="3" t="s">
        <v>196</v>
      </c>
      <c r="F9" s="3" t="s">
        <v>197</v>
      </c>
      <c r="G9" s="3" t="s">
        <v>157</v>
      </c>
      <c r="H9" s="3" t="s">
        <v>95</v>
      </c>
      <c r="I9" s="3" t="s">
        <v>198</v>
      </c>
      <c r="J9" s="3" t="s">
        <v>96</v>
      </c>
      <c r="K9" s="3" t="s">
        <v>199</v>
      </c>
      <c r="L9" s="3" t="s">
        <v>175</v>
      </c>
      <c r="M9" s="3" t="s">
        <v>106</v>
      </c>
      <c r="N9" s="5">
        <v>72</v>
      </c>
      <c r="O9" s="5">
        <v>2729</v>
      </c>
      <c r="P9" s="3" t="s">
        <v>161</v>
      </c>
      <c r="Q9" s="3" t="s">
        <v>162</v>
      </c>
      <c r="R9" s="3" t="s">
        <v>163</v>
      </c>
    </row>
    <row r="10" spans="1:18">
      <c r="A10" s="2">
        <v>46170</v>
      </c>
      <c r="B10" s="3" t="s">
        <v>81</v>
      </c>
      <c r="C10" s="3" t="s">
        <v>200</v>
      </c>
      <c r="D10" s="3" t="s">
        <v>201</v>
      </c>
      <c r="E10" s="3" t="s">
        <v>202</v>
      </c>
      <c r="F10" s="3" t="s">
        <v>203</v>
      </c>
      <c r="G10" s="3" t="s">
        <v>157</v>
      </c>
      <c r="H10" s="3" t="s">
        <v>204</v>
      </c>
      <c r="I10" s="3" t="s">
        <v>193</v>
      </c>
      <c r="J10" s="3" t="s">
        <v>205</v>
      </c>
      <c r="K10" s="3" t="s">
        <v>195</v>
      </c>
      <c r="L10" s="3" t="s">
        <v>175</v>
      </c>
      <c r="M10" s="3" t="s">
        <v>101</v>
      </c>
      <c r="N10" s="5">
        <v>18</v>
      </c>
      <c r="O10" s="5">
        <v>629</v>
      </c>
      <c r="P10" s="3" t="s">
        <v>161</v>
      </c>
      <c r="Q10" s="3" t="s">
        <v>162</v>
      </c>
      <c r="R10" s="3" t="s">
        <v>163</v>
      </c>
    </row>
    <row r="11" spans="1:18">
      <c r="A11" s="2">
        <v>46170</v>
      </c>
      <c r="B11" s="3" t="s">
        <v>82</v>
      </c>
      <c r="C11" s="3" t="s">
        <v>131</v>
      </c>
      <c r="D11" s="3" t="s">
        <v>164</v>
      </c>
      <c r="E11" s="3" t="s">
        <v>155</v>
      </c>
      <c r="F11" s="3" t="s">
        <v>206</v>
      </c>
      <c r="G11" s="3" t="s">
        <v>157</v>
      </c>
      <c r="H11" s="3" t="s">
        <v>97</v>
      </c>
      <c r="I11" s="3" t="s">
        <v>207</v>
      </c>
      <c r="J11" s="3" t="s">
        <v>98</v>
      </c>
      <c r="K11" s="3" t="s">
        <v>195</v>
      </c>
      <c r="L11" s="3" t="s">
        <v>175</v>
      </c>
      <c r="M11" s="3" t="s">
        <v>101</v>
      </c>
      <c r="N11" s="5">
        <v>35</v>
      </c>
      <c r="O11" s="5">
        <v>1033</v>
      </c>
      <c r="P11" s="3" t="s">
        <v>161</v>
      </c>
      <c r="Q11" s="3" t="s">
        <v>162</v>
      </c>
      <c r="R11" s="3" t="s">
        <v>163</v>
      </c>
    </row>
    <row r="12" spans="1:18">
      <c r="A12" s="2">
        <v>46171</v>
      </c>
      <c r="B12" s="3" t="s">
        <v>75</v>
      </c>
      <c r="C12" s="3" t="s">
        <v>133</v>
      </c>
      <c r="D12" s="3" t="s">
        <v>208</v>
      </c>
      <c r="E12" s="3" t="s">
        <v>209</v>
      </c>
      <c r="F12" s="3" t="s">
        <v>210</v>
      </c>
      <c r="G12" s="3" t="s">
        <v>157</v>
      </c>
      <c r="H12" s="3" t="s">
        <v>211</v>
      </c>
      <c r="I12" s="3" t="s">
        <v>212</v>
      </c>
      <c r="J12" s="3" t="s">
        <v>213</v>
      </c>
      <c r="K12" s="3" t="s">
        <v>214</v>
      </c>
      <c r="L12" s="3" t="s">
        <v>160</v>
      </c>
      <c r="M12" s="3" t="s">
        <v>103</v>
      </c>
      <c r="N12" s="5">
        <v>98</v>
      </c>
      <c r="O12" s="5">
        <v>1421</v>
      </c>
      <c r="P12" s="3" t="s">
        <v>161</v>
      </c>
      <c r="Q12" s="3" t="s">
        <v>162</v>
      </c>
      <c r="R12" s="3" t="s">
        <v>163</v>
      </c>
    </row>
    <row r="13" spans="1:18">
      <c r="A13" s="2">
        <v>46171</v>
      </c>
      <c r="B13" s="3" t="s">
        <v>78</v>
      </c>
      <c r="C13" s="3" t="s">
        <v>131</v>
      </c>
      <c r="D13" s="3" t="s">
        <v>189</v>
      </c>
      <c r="E13" s="3" t="s">
        <v>215</v>
      </c>
      <c r="F13" s="3" t="s">
        <v>216</v>
      </c>
      <c r="G13" s="3" t="s">
        <v>157</v>
      </c>
      <c r="H13" s="3" t="s">
        <v>217</v>
      </c>
      <c r="I13" s="3" t="s">
        <v>218</v>
      </c>
      <c r="J13" s="3" t="s">
        <v>219</v>
      </c>
      <c r="K13" s="3" t="s">
        <v>188</v>
      </c>
      <c r="L13" s="3" t="s">
        <v>175</v>
      </c>
      <c r="M13" s="3" t="s">
        <v>101</v>
      </c>
      <c r="N13" s="5">
        <v>79</v>
      </c>
      <c r="O13" s="5">
        <v>2500</v>
      </c>
      <c r="P13" s="3" t="s">
        <v>179</v>
      </c>
      <c r="Q13" s="3" t="s">
        <v>162</v>
      </c>
      <c r="R13" s="3" t="s">
        <v>163</v>
      </c>
    </row>
    <row r="14" spans="1:18">
      <c r="A14" s="2">
        <v>46172</v>
      </c>
      <c r="B14" s="3" t="s">
        <v>75</v>
      </c>
      <c r="C14" s="3" t="s">
        <v>131</v>
      </c>
      <c r="D14" s="3" t="s">
        <v>154</v>
      </c>
      <c r="E14" s="3" t="s">
        <v>155</v>
      </c>
      <c r="F14" s="3" t="s">
        <v>156</v>
      </c>
      <c r="G14" s="3" t="s">
        <v>157</v>
      </c>
      <c r="H14" s="3" t="s">
        <v>87</v>
      </c>
      <c r="I14" s="3" t="s">
        <v>158</v>
      </c>
      <c r="J14" s="3" t="s">
        <v>88</v>
      </c>
      <c r="K14" s="3" t="s">
        <v>159</v>
      </c>
      <c r="L14" s="3" t="s">
        <v>160</v>
      </c>
      <c r="M14" s="3" t="s">
        <v>103</v>
      </c>
      <c r="N14" s="5">
        <v>235</v>
      </c>
      <c r="O14" s="5">
        <v>5235</v>
      </c>
      <c r="P14" s="3" t="s">
        <v>161</v>
      </c>
      <c r="Q14" s="3" t="s">
        <v>162</v>
      </c>
      <c r="R14" s="3" t="s">
        <v>163</v>
      </c>
    </row>
    <row r="15" spans="1:18">
      <c r="A15" s="2">
        <v>46172</v>
      </c>
      <c r="B15" s="3" t="s">
        <v>76</v>
      </c>
      <c r="C15" s="3" t="s">
        <v>136</v>
      </c>
      <c r="D15" s="3" t="s">
        <v>184</v>
      </c>
      <c r="E15" s="3" t="s">
        <v>185</v>
      </c>
      <c r="F15" s="3" t="s">
        <v>186</v>
      </c>
      <c r="G15" s="3" t="s">
        <v>157</v>
      </c>
      <c r="H15" s="3" t="s">
        <v>93</v>
      </c>
      <c r="I15" s="3" t="s">
        <v>187</v>
      </c>
      <c r="J15" s="3" t="s">
        <v>94</v>
      </c>
      <c r="K15" s="3" t="s">
        <v>188</v>
      </c>
      <c r="L15" s="3" t="s">
        <v>175</v>
      </c>
      <c r="M15" s="3" t="s">
        <v>101</v>
      </c>
      <c r="N15" s="5">
        <v>1100</v>
      </c>
      <c r="O15" s="5">
        <v>14300</v>
      </c>
      <c r="P15" s="3" t="s">
        <v>161</v>
      </c>
      <c r="Q15" s="3" t="s">
        <v>162</v>
      </c>
      <c r="R15" s="3" t="s">
        <v>163</v>
      </c>
    </row>
    <row r="16" spans="1:18">
      <c r="A16" s="2">
        <v>46172</v>
      </c>
      <c r="B16" s="3" t="s">
        <v>80</v>
      </c>
      <c r="C16" s="3" t="s">
        <v>132</v>
      </c>
      <c r="D16" s="3" t="s">
        <v>170</v>
      </c>
      <c r="E16" s="3" t="s">
        <v>196</v>
      </c>
      <c r="F16" s="3" t="s">
        <v>197</v>
      </c>
      <c r="G16" s="3" t="s">
        <v>157</v>
      </c>
      <c r="H16" s="3" t="s">
        <v>95</v>
      </c>
      <c r="I16" s="3" t="s">
        <v>198</v>
      </c>
      <c r="J16" s="3" t="s">
        <v>96</v>
      </c>
      <c r="K16" s="3" t="s">
        <v>199</v>
      </c>
      <c r="L16" s="3" t="s">
        <v>175</v>
      </c>
      <c r="M16" s="3" t="s">
        <v>104</v>
      </c>
      <c r="N16" s="5">
        <v>88</v>
      </c>
      <c r="O16" s="5">
        <v>3335</v>
      </c>
      <c r="P16" s="3" t="s">
        <v>161</v>
      </c>
      <c r="Q16" s="3" t="s">
        <v>162</v>
      </c>
      <c r="R16" s="3" t="s">
        <v>163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2" customWidth="1"/>
    <col min="2" max="2" width="13" customWidth="1"/>
    <col min="3" max="3" width="10" customWidth="1"/>
    <col min="4" max="4" width="13" customWidth="1"/>
    <col min="5" max="5" width="12" customWidth="1"/>
    <col min="6" max="6" width="24" customWidth="1"/>
    <col min="7" max="7" width="9" customWidth="1"/>
    <col min="8" max="8" width="14" customWidth="1"/>
    <col min="9" max="9" width="32" customWidth="1"/>
    <col min="10" max="10" width="12" customWidth="1"/>
    <col min="11" max="12" width="13" customWidth="1"/>
    <col min="13" max="13" width="14" customWidth="1"/>
    <col min="14" max="14" width="12" customWidth="1"/>
    <col min="15" max="15" width="13" customWidth="1"/>
    <col min="16" max="16" width="20" customWidth="1"/>
  </cols>
  <sheetData>
    <row r="1" spans="1:16">
      <c r="A1" s="1" t="s">
        <v>108</v>
      </c>
      <c r="B1" s="1" t="s">
        <v>3</v>
      </c>
      <c r="C1" s="1" t="s">
        <v>5</v>
      </c>
      <c r="D1" s="1" t="s">
        <v>69</v>
      </c>
      <c r="E1" s="1" t="s">
        <v>109</v>
      </c>
      <c r="F1" s="1" t="s">
        <v>110</v>
      </c>
      <c r="G1" s="1" t="s">
        <v>146</v>
      </c>
      <c r="H1" s="1" t="s">
        <v>84</v>
      </c>
      <c r="I1" s="1" t="s">
        <v>85</v>
      </c>
      <c r="J1" s="1" t="s">
        <v>41</v>
      </c>
      <c r="K1" s="1" t="s">
        <v>220</v>
      </c>
      <c r="L1" s="1" t="s">
        <v>221</v>
      </c>
      <c r="M1" s="1" t="s">
        <v>126</v>
      </c>
      <c r="N1" s="1" t="s">
        <v>43</v>
      </c>
      <c r="O1" s="1" t="s">
        <v>138</v>
      </c>
      <c r="P1" s="1" t="s">
        <v>86</v>
      </c>
    </row>
    <row r="2" spans="1:16">
      <c r="A2" s="2">
        <v>46172</v>
      </c>
      <c r="B2" s="3" t="s">
        <v>75</v>
      </c>
      <c r="C2" s="3" t="s">
        <v>131</v>
      </c>
      <c r="D2" s="3" t="s">
        <v>154</v>
      </c>
      <c r="E2" s="3" t="s">
        <v>155</v>
      </c>
      <c r="F2" s="3" t="s">
        <v>156</v>
      </c>
      <c r="G2" s="3" t="s">
        <v>157</v>
      </c>
      <c r="H2" s="3" t="s">
        <v>87</v>
      </c>
      <c r="I2" s="3" t="s">
        <v>88</v>
      </c>
      <c r="J2" s="4">
        <v>15089</v>
      </c>
      <c r="K2" s="4">
        <v>1950</v>
      </c>
      <c r="L2" s="4">
        <v>725</v>
      </c>
      <c r="M2" s="4">
        <v>620</v>
      </c>
      <c r="N2" s="4">
        <f t="shared" ref="N2:N10" si="0">IFERROR(J2/M2,"")</f>
        <v>24.3370967741935</v>
      </c>
      <c r="O2" s="3" t="str">
        <f t="shared" ref="O2:O10" si="1">IF(N2="","",IF(N2&gt;60,"Y","N"))</f>
        <v>N</v>
      </c>
      <c r="P2" s="3" t="s">
        <v>163</v>
      </c>
    </row>
    <row r="3" spans="1:16">
      <c r="A3" s="2">
        <v>46172</v>
      </c>
      <c r="B3" s="3" t="s">
        <v>75</v>
      </c>
      <c r="C3" s="3" t="s">
        <v>132</v>
      </c>
      <c r="D3" s="3" t="s">
        <v>170</v>
      </c>
      <c r="E3" s="3" t="s">
        <v>171</v>
      </c>
      <c r="F3" s="3" t="s">
        <v>172</v>
      </c>
      <c r="G3" s="3" t="s">
        <v>157</v>
      </c>
      <c r="H3" s="3" t="s">
        <v>89</v>
      </c>
      <c r="I3" s="3" t="s">
        <v>90</v>
      </c>
      <c r="J3" s="4">
        <v>13619</v>
      </c>
      <c r="K3" s="4">
        <v>1250</v>
      </c>
      <c r="L3" s="4">
        <v>550</v>
      </c>
      <c r="M3" s="4">
        <v>210</v>
      </c>
      <c r="N3" s="4">
        <f t="shared" si="0"/>
        <v>64.852380952381</v>
      </c>
      <c r="O3" s="3" t="str">
        <f t="shared" si="1"/>
        <v>Y</v>
      </c>
      <c r="P3" s="3" t="s">
        <v>163</v>
      </c>
    </row>
    <row r="4" spans="1:16">
      <c r="A4" s="2">
        <v>46172</v>
      </c>
      <c r="B4" s="3" t="s">
        <v>78</v>
      </c>
      <c r="C4" s="3" t="s">
        <v>132</v>
      </c>
      <c r="D4" s="3" t="s">
        <v>170</v>
      </c>
      <c r="E4" s="3" t="s">
        <v>176</v>
      </c>
      <c r="F4" s="3" t="s">
        <v>177</v>
      </c>
      <c r="G4" s="3" t="s">
        <v>157</v>
      </c>
      <c r="H4" s="3" t="s">
        <v>91</v>
      </c>
      <c r="I4" s="3" t="s">
        <v>92</v>
      </c>
      <c r="J4" s="4">
        <v>30943</v>
      </c>
      <c r="K4" s="4">
        <v>0</v>
      </c>
      <c r="L4" s="4">
        <v>840</v>
      </c>
      <c r="M4" s="4">
        <v>1408</v>
      </c>
      <c r="N4" s="4">
        <f t="shared" si="0"/>
        <v>21.9765625</v>
      </c>
      <c r="O4" s="3" t="str">
        <f t="shared" si="1"/>
        <v>N</v>
      </c>
      <c r="P4" s="3" t="s">
        <v>163</v>
      </c>
    </row>
    <row r="5" spans="1:16">
      <c r="A5" s="2">
        <v>46172</v>
      </c>
      <c r="B5" s="3" t="s">
        <v>77</v>
      </c>
      <c r="C5" s="3" t="s">
        <v>133</v>
      </c>
      <c r="D5" s="3" t="s">
        <v>180</v>
      </c>
      <c r="E5" s="3" t="s">
        <v>181</v>
      </c>
      <c r="F5" s="3" t="s">
        <v>182</v>
      </c>
      <c r="G5" s="3" t="s">
        <v>157</v>
      </c>
      <c r="H5" s="3" t="s">
        <v>134</v>
      </c>
      <c r="I5" s="3" t="s">
        <v>135</v>
      </c>
      <c r="J5" s="4">
        <v>5233</v>
      </c>
      <c r="K5" s="4">
        <v>0</v>
      </c>
      <c r="L5" s="4">
        <v>0</v>
      </c>
      <c r="M5" s="4">
        <v>245</v>
      </c>
      <c r="N5" s="4">
        <f t="shared" si="0"/>
        <v>21.3591836734694</v>
      </c>
      <c r="O5" s="3" t="str">
        <f t="shared" si="1"/>
        <v>N</v>
      </c>
      <c r="P5" s="3" t="s">
        <v>163</v>
      </c>
    </row>
    <row r="6" spans="1:16">
      <c r="A6" s="2">
        <v>46172</v>
      </c>
      <c r="B6" s="3" t="s">
        <v>76</v>
      </c>
      <c r="C6" s="3" t="s">
        <v>136</v>
      </c>
      <c r="D6" s="3" t="s">
        <v>184</v>
      </c>
      <c r="E6" s="3" t="s">
        <v>185</v>
      </c>
      <c r="F6" s="3" t="s">
        <v>186</v>
      </c>
      <c r="G6" s="3" t="s">
        <v>157</v>
      </c>
      <c r="H6" s="3" t="s">
        <v>93</v>
      </c>
      <c r="I6" s="3" t="s">
        <v>94</v>
      </c>
      <c r="J6" s="4">
        <v>94942</v>
      </c>
      <c r="K6" s="4">
        <v>0</v>
      </c>
      <c r="L6" s="4">
        <v>21250</v>
      </c>
      <c r="M6" s="4">
        <v>20146</v>
      </c>
      <c r="N6" s="4">
        <f t="shared" si="0"/>
        <v>4.71269730963963</v>
      </c>
      <c r="O6" s="3" t="str">
        <f t="shared" si="1"/>
        <v>N</v>
      </c>
      <c r="P6" s="3" t="s">
        <v>163</v>
      </c>
    </row>
    <row r="7" spans="1:16">
      <c r="A7" s="2">
        <v>46172</v>
      </c>
      <c r="B7" s="3" t="s">
        <v>79</v>
      </c>
      <c r="C7" s="3" t="s">
        <v>131</v>
      </c>
      <c r="D7" s="3" t="s">
        <v>189</v>
      </c>
      <c r="E7" s="3" t="s">
        <v>190</v>
      </c>
      <c r="F7" s="3" t="s">
        <v>191</v>
      </c>
      <c r="G7" s="3" t="s">
        <v>157</v>
      </c>
      <c r="H7" s="3" t="s">
        <v>192</v>
      </c>
      <c r="I7" s="3" t="s">
        <v>194</v>
      </c>
      <c r="J7" s="4">
        <v>74</v>
      </c>
      <c r="K7" s="4">
        <v>0</v>
      </c>
      <c r="L7" s="4">
        <v>0</v>
      </c>
      <c r="M7" s="4">
        <v>7</v>
      </c>
      <c r="N7" s="4">
        <f t="shared" si="0"/>
        <v>10.5714285714286</v>
      </c>
      <c r="O7" s="3" t="str">
        <f t="shared" si="1"/>
        <v>N</v>
      </c>
      <c r="P7" s="3" t="s">
        <v>163</v>
      </c>
    </row>
    <row r="8" spans="1:16">
      <c r="A8" s="2">
        <v>46172</v>
      </c>
      <c r="B8" s="3" t="s">
        <v>80</v>
      </c>
      <c r="C8" s="3" t="s">
        <v>132</v>
      </c>
      <c r="D8" s="3" t="s">
        <v>170</v>
      </c>
      <c r="E8" s="3" t="s">
        <v>196</v>
      </c>
      <c r="F8" s="3" t="s">
        <v>197</v>
      </c>
      <c r="G8" s="3" t="s">
        <v>157</v>
      </c>
      <c r="H8" s="3" t="s">
        <v>95</v>
      </c>
      <c r="I8" s="3" t="s">
        <v>96</v>
      </c>
      <c r="J8" s="4">
        <v>5444</v>
      </c>
      <c r="K8" s="4">
        <v>0</v>
      </c>
      <c r="L8" s="4">
        <v>0</v>
      </c>
      <c r="M8" s="4">
        <v>129</v>
      </c>
      <c r="N8" s="4">
        <f t="shared" si="0"/>
        <v>42.2015503875969</v>
      </c>
      <c r="O8" s="3" t="str">
        <f t="shared" si="1"/>
        <v>N</v>
      </c>
      <c r="P8" s="3" t="s">
        <v>163</v>
      </c>
    </row>
    <row r="9" spans="1:16">
      <c r="A9" s="2">
        <v>46172</v>
      </c>
      <c r="B9" s="3" t="s">
        <v>81</v>
      </c>
      <c r="C9" s="3" t="s">
        <v>200</v>
      </c>
      <c r="D9" s="3" t="s">
        <v>201</v>
      </c>
      <c r="E9" s="3" t="s">
        <v>202</v>
      </c>
      <c r="F9" s="3" t="s">
        <v>203</v>
      </c>
      <c r="G9" s="3" t="s">
        <v>157</v>
      </c>
      <c r="H9" s="3" t="s">
        <v>204</v>
      </c>
      <c r="I9" s="3" t="s">
        <v>205</v>
      </c>
      <c r="J9" s="4">
        <v>15925</v>
      </c>
      <c r="K9" s="4">
        <v>0</v>
      </c>
      <c r="L9" s="4">
        <v>0</v>
      </c>
      <c r="M9" s="4">
        <v>31</v>
      </c>
      <c r="N9" s="4">
        <f t="shared" si="0"/>
        <v>513.709677419355</v>
      </c>
      <c r="O9" s="3" t="str">
        <f t="shared" si="1"/>
        <v>Y</v>
      </c>
      <c r="P9" s="3" t="s">
        <v>163</v>
      </c>
    </row>
    <row r="10" spans="1:16">
      <c r="A10" s="2">
        <v>46172</v>
      </c>
      <c r="B10" s="3" t="s">
        <v>82</v>
      </c>
      <c r="C10" s="3" t="s">
        <v>131</v>
      </c>
      <c r="D10" s="3" t="s">
        <v>164</v>
      </c>
      <c r="E10" s="3" t="s">
        <v>155</v>
      </c>
      <c r="F10" s="3" t="s">
        <v>206</v>
      </c>
      <c r="G10" s="3" t="s">
        <v>157</v>
      </c>
      <c r="H10" s="3" t="s">
        <v>97</v>
      </c>
      <c r="I10" s="3" t="s">
        <v>98</v>
      </c>
      <c r="J10" s="4">
        <v>315</v>
      </c>
      <c r="K10" s="4">
        <v>0</v>
      </c>
      <c r="L10" s="4">
        <v>0</v>
      </c>
      <c r="M10" s="4">
        <v>6</v>
      </c>
      <c r="N10" s="4">
        <f t="shared" si="0"/>
        <v>52.5</v>
      </c>
      <c r="O10" s="3" t="str">
        <f t="shared" si="1"/>
        <v>N</v>
      </c>
      <c r="P10" s="3" t="s">
        <v>163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4"/>
  <cols>
    <col min="1" max="1" width="12" customWidth="1"/>
    <col min="2" max="2" width="13" customWidth="1"/>
    <col min="3" max="3" width="10" customWidth="1"/>
    <col min="4" max="4" width="13" customWidth="1"/>
    <col min="5" max="5" width="12" customWidth="1"/>
    <col min="6" max="6" width="24" customWidth="1"/>
    <col min="7" max="7" width="14" customWidth="1"/>
    <col min="8" max="8" width="32" customWidth="1"/>
    <col min="9" max="9" width="12" customWidth="1"/>
    <col min="10" max="10" width="14" customWidth="1"/>
    <col min="11" max="11" width="12" customWidth="1"/>
    <col min="12" max="12" width="14" customWidth="1"/>
    <col min="13" max="13" width="18" customWidth="1"/>
    <col min="14" max="14" width="13" customWidth="1"/>
    <col min="15" max="15" width="28" customWidth="1"/>
  </cols>
  <sheetData>
    <row r="1" spans="1:15">
      <c r="A1" s="1" t="s">
        <v>108</v>
      </c>
      <c r="B1" s="1" t="s">
        <v>3</v>
      </c>
      <c r="C1" s="1" t="s">
        <v>5</v>
      </c>
      <c r="D1" s="1" t="s">
        <v>69</v>
      </c>
      <c r="E1" s="1" t="s">
        <v>109</v>
      </c>
      <c r="F1" s="1" t="s">
        <v>110</v>
      </c>
      <c r="G1" s="1" t="s">
        <v>84</v>
      </c>
      <c r="H1" s="1" t="s">
        <v>85</v>
      </c>
      <c r="I1" s="1" t="s">
        <v>6</v>
      </c>
      <c r="J1" s="1" t="s">
        <v>7</v>
      </c>
      <c r="K1" s="1" t="s">
        <v>72</v>
      </c>
      <c r="L1" s="1" t="s">
        <v>73</v>
      </c>
      <c r="M1" s="1" t="s">
        <v>222</v>
      </c>
      <c r="N1" s="1" t="s">
        <v>223</v>
      </c>
      <c r="O1" s="1" t="s">
        <v>86</v>
      </c>
    </row>
    <row r="2" ht="27" spans="1:15">
      <c r="A2" s="2">
        <v>46172</v>
      </c>
      <c r="B2" s="3" t="s">
        <v>76</v>
      </c>
      <c r="C2" s="3" t="s">
        <v>136</v>
      </c>
      <c r="D2" s="3" t="s">
        <v>184</v>
      </c>
      <c r="E2" s="3" t="s">
        <v>185</v>
      </c>
      <c r="F2" s="3" t="s">
        <v>186</v>
      </c>
      <c r="G2" s="3" t="s">
        <v>93</v>
      </c>
      <c r="H2" s="3" t="s">
        <v>94</v>
      </c>
      <c r="I2" s="4">
        <v>24043</v>
      </c>
      <c r="J2" s="4" t="s">
        <v>163</v>
      </c>
      <c r="K2" s="4">
        <v>120</v>
      </c>
      <c r="L2" s="4" t="s">
        <v>163</v>
      </c>
      <c r="M2" s="3" t="s">
        <v>224</v>
      </c>
      <c r="N2" s="3" t="s">
        <v>72</v>
      </c>
      <c r="O2" s="3" t="s">
        <v>163</v>
      </c>
    </row>
    <row r="3" ht="27" spans="1:15">
      <c r="A3" s="2">
        <v>46172</v>
      </c>
      <c r="B3" s="3" t="s">
        <v>82</v>
      </c>
      <c r="C3" s="3" t="s">
        <v>131</v>
      </c>
      <c r="D3" s="3" t="s">
        <v>164</v>
      </c>
      <c r="E3" s="3" t="s">
        <v>155</v>
      </c>
      <c r="F3" s="3" t="s">
        <v>206</v>
      </c>
      <c r="G3" s="3" t="s">
        <v>97</v>
      </c>
      <c r="H3" s="3" t="s">
        <v>98</v>
      </c>
      <c r="I3" s="4">
        <v>315</v>
      </c>
      <c r="J3" s="4">
        <v>9050</v>
      </c>
      <c r="K3" s="4">
        <v>0</v>
      </c>
      <c r="L3" s="4">
        <v>0</v>
      </c>
      <c r="M3" s="3" t="s">
        <v>225</v>
      </c>
      <c r="N3" s="3" t="s">
        <v>226</v>
      </c>
      <c r="O3" s="3" t="s">
        <v>163</v>
      </c>
    </row>
    <row r="4" ht="27" spans="1:15">
      <c r="A4" s="2">
        <v>46172</v>
      </c>
      <c r="B4" s="3" t="s">
        <v>75</v>
      </c>
      <c r="C4" s="3" t="s">
        <v>131</v>
      </c>
      <c r="D4" s="3" t="s">
        <v>154</v>
      </c>
      <c r="E4" s="3" t="s">
        <v>155</v>
      </c>
      <c r="F4" s="3" t="s">
        <v>156</v>
      </c>
      <c r="G4" s="3" t="s">
        <v>87</v>
      </c>
      <c r="H4" s="3" t="s">
        <v>88</v>
      </c>
      <c r="I4" s="4">
        <v>725</v>
      </c>
      <c r="J4" s="4" t="s">
        <v>163</v>
      </c>
      <c r="K4" s="4" t="s">
        <v>163</v>
      </c>
      <c r="L4" s="4" t="s">
        <v>163</v>
      </c>
      <c r="M4" s="3" t="s">
        <v>227</v>
      </c>
      <c r="N4" s="3" t="s">
        <v>228</v>
      </c>
      <c r="O4" s="3" t="s">
        <v>229</v>
      </c>
    </row>
    <row r="5" spans="1:15">
      <c r="A5" s="2">
        <v>46172</v>
      </c>
      <c r="B5" s="3" t="s">
        <v>78</v>
      </c>
      <c r="C5" s="3" t="s">
        <v>132</v>
      </c>
      <c r="D5" s="3" t="s">
        <v>170</v>
      </c>
      <c r="E5" s="3" t="s">
        <v>176</v>
      </c>
      <c r="F5" s="3" t="s">
        <v>177</v>
      </c>
      <c r="G5" s="3" t="s">
        <v>91</v>
      </c>
      <c r="H5" s="3" t="s">
        <v>92</v>
      </c>
      <c r="I5" s="4" t="s">
        <v>163</v>
      </c>
      <c r="J5" s="4" t="s">
        <v>163</v>
      </c>
      <c r="K5" s="4" t="s">
        <v>163</v>
      </c>
      <c r="L5" s="4" t="s">
        <v>163</v>
      </c>
      <c r="M5" s="3" t="s">
        <v>230</v>
      </c>
      <c r="N5" s="3" t="s">
        <v>231</v>
      </c>
      <c r="O5" s="3" t="s">
        <v>232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日报总览</vt:lpstr>
      <vt:lpstr>1-KA大盘出货数据</vt:lpstr>
      <vt:lpstr>2-单品出货POS对比</vt:lpstr>
      <vt:lpstr>3-门店库存周转天数</vt:lpstr>
      <vt:lpstr>4-超60天门店排名</vt:lpstr>
      <vt:lpstr>销售明细</vt:lpstr>
      <vt:lpstr>库存明细</vt:lpstr>
      <vt:lpstr>出货退货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</cp:lastModifiedBy>
  <dcterms:created xsi:type="dcterms:W3CDTF">2026-06-02T06:14:00Z</dcterms:created>
  <dcterms:modified xsi:type="dcterms:W3CDTF">2026-06-02T06:39:50Z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109CCFF994AC41FDBD6A6E853E8EB3E5_12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