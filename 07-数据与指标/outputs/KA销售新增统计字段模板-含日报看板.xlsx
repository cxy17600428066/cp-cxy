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仪表盘" sheetId="1" state="visible" r:id="rId1"/>
    <sheet xmlns:r="http://schemas.openxmlformats.org/officeDocument/2006/relationships" name="日报看板-图片版" sheetId="2" state="visible" r:id="rId2"/>
    <sheet xmlns:r="http://schemas.openxmlformats.org/officeDocument/2006/relationships" name="销售明细" sheetId="3" state="visible" r:id="rId3"/>
    <sheet xmlns:r="http://schemas.openxmlformats.org/officeDocument/2006/relationships" name="库存明细" sheetId="4" state="visible" r:id="rId4"/>
    <sheet xmlns:r="http://schemas.openxmlformats.org/officeDocument/2006/relationships" name="出货退货" sheetId="5" state="visible" r:id="rId5"/>
    <sheet xmlns:r="http://schemas.openxmlformats.org/officeDocument/2006/relationships" name="门店维表" sheetId="6" state="visible" r:id="rId6"/>
    <sheet xmlns:r="http://schemas.openxmlformats.org/officeDocument/2006/relationships" name="商品维表" sheetId="7" state="visible" r:id="rId7"/>
    <sheet xmlns:r="http://schemas.openxmlformats.org/officeDocument/2006/relationships" name="指标口径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"/>
    <numFmt numFmtId="166" formatCode="#,##0.0"/>
    <numFmt numFmtId="167" formatCode="yyyy/m/d"/>
  </numFmts>
  <fonts count="16">
    <font>
      <name val="Calibri"/>
      <family val="2"/>
      <color theme="1"/>
      <sz val="11"/>
      <scheme val="minor"/>
    </font>
    <font>
      <b val="1"/>
      <color rgb="0017202A"/>
    </font>
    <font>
      <b val="1"/>
      <color rgb="0017202A"/>
      <sz val="18"/>
    </font>
    <font>
      <color rgb="005B6675"/>
      <sz val="10"/>
    </font>
    <font>
      <b val="1"/>
      <color rgb="005B6675"/>
      <sz val="10"/>
    </font>
    <font>
      <b val="1"/>
      <color rgb="001D4ED8"/>
      <sz val="18"/>
    </font>
    <font>
      <b val="1"/>
      <color rgb="0015803D"/>
      <sz val="18"/>
    </font>
    <font>
      <b val="1"/>
      <color rgb="00B45309"/>
      <sz val="18"/>
    </font>
    <font>
      <b val="1"/>
      <color rgb="00B91C1C"/>
      <sz val="18"/>
    </font>
    <font>
      <b val="1"/>
      <color rgb="0015803D"/>
      <sz val="28"/>
    </font>
    <font>
      <name val="微软雅黑"/>
      <b val="1"/>
      <color rgb="00000000"/>
      <sz val="11"/>
    </font>
    <font>
      <name val="微软雅黑"/>
      <b val="1"/>
      <sz val="11"/>
      <u val="single"/>
    </font>
    <font>
      <name val="微软雅黑"/>
      <b val="1"/>
      <sz val="24"/>
    </font>
    <font>
      <name val="微软雅黑"/>
      <b val="1"/>
      <sz val="10"/>
    </font>
    <font>
      <b val="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EAF0F8"/>
      </patternFill>
    </fill>
    <fill>
      <patternFill patternType="solid">
        <fgColor rgb="00F6F8FB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A7E6DF"/>
      </patternFill>
    </fill>
  </fills>
  <borders count="12">
    <border>
      <left/>
      <right/>
      <top/>
      <bottom/>
      <diagonal/>
    </border>
    <border>
      <left style="thin">
        <color rgb="00D8DEE7"/>
      </left>
      <right style="thin">
        <color rgb="00D8DEE7"/>
      </right>
      <top style="thin">
        <color rgb="00D8DEE7"/>
      </top>
      <bottom style="thin">
        <color rgb="00D8DEE7"/>
      </bottom>
    </border>
    <border>
      <left/>
      <right/>
      <top style="thin">
        <color rgb="00D8DEE7"/>
      </top>
      <bottom/>
      <diagonal/>
    </border>
    <border>
      <left/>
      <right style="thin">
        <color rgb="00D8DEE7"/>
      </right>
      <top style="thin">
        <color rgb="00D8DEE7"/>
      </top>
      <bottom/>
      <diagonal/>
    </border>
    <border>
      <left/>
      <right style="thin">
        <color rgb="00D8DEE7"/>
      </right>
      <top style="thin">
        <color rgb="00D8DEE7"/>
      </top>
      <bottom style="thin">
        <color rgb="00D8DEE7"/>
      </bottom>
      <diagonal/>
    </border>
    <border>
      <left/>
      <right/>
      <top style="thin">
        <color rgb="00D8DEE7"/>
      </top>
      <bottom style="thin">
        <color rgb="00D8DEE7"/>
      </bottom>
      <diagonal/>
    </border>
    <border>
      <left style="thin">
        <color rgb="00D8DEE7"/>
      </left>
      <right/>
      <top/>
      <bottom/>
      <diagonal/>
    </border>
    <border>
      <left/>
      <right style="thin">
        <color rgb="00D8DEE7"/>
      </right>
      <top/>
      <bottom/>
      <diagonal/>
    </border>
    <border>
      <left style="thin">
        <color rgb="00D8DEE7"/>
      </left>
      <right/>
      <top/>
      <bottom style="thin">
        <color rgb="00D8DEE7"/>
      </bottom>
      <diagonal/>
    </border>
    <border>
      <left/>
      <right style="thin">
        <color rgb="00D8DEE7"/>
      </right>
      <top/>
      <bottom style="thin">
        <color rgb="00D8DEE7"/>
      </bottom>
      <diagonal/>
    </border>
    <border>
      <left style="dashed">
        <color rgb="00000000"/>
      </left>
      <right style="dashed">
        <color rgb="00000000"/>
      </right>
      <top style="dashed">
        <color rgb="00000000"/>
      </top>
      <bottom style="dashed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9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left" vertical="center"/>
    </xf>
    <xf numFmtId="3" fontId="8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3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166" fontId="0" fillId="4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164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166" fontId="0" fillId="4" borderId="1" applyAlignment="1" pivotButton="0" quotePrefix="0" xfId="0">
      <alignment vertical="center" wrapText="1"/>
    </xf>
    <xf numFmtId="0" fontId="10" fillId="0" borderId="0" applyAlignment="1" pivotButton="0" quotePrefix="0" xfId="0">
      <alignment horizontal="right" vertical="center" wrapText="1"/>
    </xf>
    <xf numFmtId="0" fontId="0" fillId="4" borderId="10" applyAlignment="1" pivotButton="0" quotePrefix="0" xfId="0">
      <alignment horizontal="center" vertical="center"/>
    </xf>
    <xf numFmtId="0" fontId="11" fillId="4" borderId="10" applyAlignment="1" pivotButton="0" quotePrefix="0" xfId="0">
      <alignment horizontal="center" vertical="center"/>
    </xf>
    <xf numFmtId="0" fontId="14" fillId="0" borderId="0" pivotButton="0" quotePrefix="0" xfId="0"/>
    <xf numFmtId="0" fontId="12" fillId="4" borderId="10" applyAlignment="1" pivotButton="0" quotePrefix="0" xfId="0">
      <alignment horizontal="center" vertical="center"/>
    </xf>
    <xf numFmtId="167" fontId="0" fillId="0" borderId="0" pivotButton="0" quotePrefix="0" xfId="0"/>
    <xf numFmtId="0" fontId="13" fillId="4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 wrapText="1"/>
    </xf>
    <xf numFmtId="0" fontId="0" fillId="0" borderId="11" pivotButton="0" quotePrefix="0" xfId="0"/>
    <xf numFmtId="0" fontId="13" fillId="6" borderId="11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 wrapText="1"/>
    </xf>
    <xf numFmtId="1" fontId="15" fillId="0" borderId="11" applyAlignment="1" pivotButton="0" quotePrefix="0" xfId="0">
      <alignment horizontal="center" vertical="center" wrapText="1"/>
    </xf>
    <xf numFmtId="166" fontId="15" fillId="0" borderId="11" applyAlignment="1" pivotButton="0" quotePrefix="0" xfId="0">
      <alignment horizontal="center" vertical="center" wrapText="1"/>
    </xf>
    <xf numFmtId="1" fontId="0" fillId="0" borderId="0" pivotButton="0" quotePrefix="0" xfId="0"/>
    <xf numFmtId="1" fontId="15" fillId="6" borderId="11" applyAlignment="1" pivotButton="0" quotePrefix="0" xfId="0">
      <alignment horizontal="center" vertical="center"/>
    </xf>
    <xf numFmtId="166" fontId="15" fillId="6" borderId="11" applyAlignment="1" pivotButton="0" quotePrefix="0" xfId="0">
      <alignment horizontal="center" vertical="center"/>
    </xf>
    <xf numFmtId="0" fontId="15" fillId="6" borderId="11" applyAlignment="1" pivotButton="0" quotePrefix="0" xfId="0">
      <alignment horizontal="center" vertical="center" wrapText="1"/>
    </xf>
    <xf numFmtId="1" fontId="15" fillId="6" borderId="11" applyAlignment="1" pivotButton="0" quotePrefix="0" xfId="0">
      <alignment horizontal="center" vertical="center" wrapText="1"/>
    </xf>
    <xf numFmtId="166" fontId="15" fillId="6" borderId="1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C0000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各KA销售金额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'总览仪表盘'!C9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'总览仪表盘'!$B$10:$B$17</f>
            </numRef>
          </cat>
          <val>
            <numRef>
              <f>'总览仪表盘'!$C$10:$C$17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KA系统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销售趋势</a:t>
            </a:r>
          </a:p>
        </rich>
      </tx>
    </title>
    <plotArea>
      <lineChart>
        <grouping val="standard"/>
        <ser>
          <idx val="0"/>
          <order val="0"/>
          <tx>
            <strRef>
              <f>'总览仪表盘'!I9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'总览仪表盘'!$H$10:$H$16</f>
            </numRef>
          </cat>
          <val>
            <numRef>
              <f>'总览仪表盘'!$I$10:$I$16</f>
            </numRef>
          </val>
        </ser>
        <ser>
          <idx val="1"/>
          <order val="1"/>
          <tx>
            <strRef>
              <f>'总览仪表盘'!J9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'总览仪表盘'!$H$10:$H$16</f>
            </numRef>
          </cat>
          <val>
            <numRef>
              <f>'总览仪表盘'!$J$10:$J$16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 / 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区域库存周转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'总览仪表盘'!E21</f>
            </strRef>
          </tx>
          <spPr>
            <a:ln xmlns:a="http://schemas.openxmlformats.org/drawingml/2006/main">
              <a:prstDash val="solid"/>
            </a:ln>
          </spPr>
          <cat>
            <numRef>
              <f>'总览仪表盘'!$B$22:$B$26</f>
            </numRef>
          </cat>
          <val>
            <numRef>
              <f>'总览仪表盘'!$E$22:$E$26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周转天数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大区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销售额（单位：元，%）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'日报看板-图片版'!$Q$3:$Q$5</f>
            </numRef>
          </cat>
          <val>
            <numRef>
              <f>'日报看板-图片版'!$R$3:$R$5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销量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'日报看板-图片版'!S2</f>
            </strRef>
          </tx>
          <spPr>
            <a:ln xmlns:a="http://schemas.openxmlformats.org/drawingml/2006/main">
              <a:prstDash val="solid"/>
            </a:ln>
          </spPr>
          <cat>
            <numRef>
              <f>'日报看板-图片版'!$Q$3:$Q$5</f>
            </numRef>
          </cat>
          <val>
            <numRef>
              <f>'日报看板-图片版'!$S$3:$S$5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近7日销量</a:t>
            </a:r>
          </a:p>
        </rich>
      </tx>
    </title>
    <plotArea>
      <lineChart>
        <grouping val="standard"/>
        <ser>
          <idx val="0"/>
          <order val="0"/>
          <tx>
            <strRef>
              <f>'日报看板-图片版'!X2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'日报看板-图片版'!$W$3:$W$9</f>
            </numRef>
          </cat>
          <val>
            <numRef>
              <f>'日报看板-图片版'!$X$3:$X$9</f>
            </numRef>
          </val>
        </ser>
        <ser>
          <idx val="1"/>
          <order val="1"/>
          <tx>
            <strRef>
              <f>'日报看板-图片版'!Y2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'日报看板-图片版'!$W$3:$W$9</f>
            </numRef>
          </cat>
          <val>
            <numRef>
              <f>'日报看板-图片版'!$Y$3:$Y$9</f>
            </numRef>
          </val>
        </ser>
        <ser>
          <idx val="2"/>
          <order val="2"/>
          <tx>
            <strRef>
              <f>'日报看板-图片版'!Z2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'日报看板-图片版'!$W$3:$W$9</f>
            </numRef>
          </cat>
          <val>
            <numRef>
              <f>'日报看板-图片版'!$Z$3:$Z$9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PSD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'日报看板-图片版'!T2</f>
            </strRef>
          </tx>
          <spPr>
            <a:ln xmlns:a="http://schemas.openxmlformats.org/drawingml/2006/main">
              <a:prstDash val="solid"/>
            </a:ln>
          </spPr>
          <cat>
            <numRef>
              <f>'日报看板-图片版'!$Q$3:$Q$5</f>
            </numRef>
          </cat>
          <val>
            <numRef>
              <f>'日报看板-图片版'!$T$3:$T$5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库存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'日报看板-图片版'!$Q$3:$Q$5</f>
            </numRef>
          </cat>
          <val>
            <numRef>
              <f>'日报看板-图片版'!$U$3:$U$5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周转天数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'日报看板-图片版'!V2</f>
            </strRef>
          </tx>
          <spPr>
            <a:ln xmlns:a="http://schemas.openxmlformats.org/drawingml/2006/main">
              <a:prstDash val="solid"/>
            </a:ln>
          </spPr>
          <cat>
            <numRef>
              <f>'日报看板-图片版'!$Q$3:$Q$5</f>
            </numRef>
          </cat>
          <val>
            <numRef>
              <f>'日报看板-图片版'!$V$3:$V$5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30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30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47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26</row>
      <rowOff>0</rowOff>
    </from>
    <ext cx="32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41</row>
      <rowOff>0</rowOff>
    </from>
    <ext cx="324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41</row>
      <rowOff>0</rowOff>
    </from>
    <ext cx="324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ales" displayName="tblSales" ref="A1:R16" headerRowCount="1">
  <autoFilter ref="A1:R16"/>
  <tableColumns count="18">
    <tableColumn id="1" name="数据日期"/>
    <tableColumn id="2" name="KA系统"/>
    <tableColumn id="3" name="大区"/>
    <tableColumn id="4" name="省份"/>
    <tableColumn id="5" name="门店编码"/>
    <tableColumn id="6" name="门店名称"/>
    <tableColumn id="7" name="是否DC"/>
    <tableColumn id="8" name="商品编码"/>
    <tableColumn id="9" name="商品条码"/>
    <tableColumn id="10" name="商品名称"/>
    <tableColumn id="11" name="规格"/>
    <tableColumn id="12" name="温层"/>
    <tableColumn id="13" name="渠道"/>
    <tableColumn id="14" name="销售数量"/>
    <tableColumn id="15" name="销售金额"/>
    <tableColumn id="16" name="含税口径"/>
    <tableColumn id="17" name="动销标记"/>
    <tableColumn id="18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Inventory" displayName="tblInventory" ref="A1:P10" headerRowCount="1">
  <autoFilter ref="A1:P10"/>
  <tableColumns count="16">
    <tableColumn id="1" name="数据日期"/>
    <tableColumn id="2" name="KA系统"/>
    <tableColumn id="3" name="大区"/>
    <tableColumn id="4" name="省份"/>
    <tableColumn id="5" name="门店编码"/>
    <tableColumn id="6" name="门店名称"/>
    <tableColumn id="7" name="是否DC"/>
    <tableColumn id="8" name="商品编码"/>
    <tableColumn id="9" name="商品名称"/>
    <tableColumn id="10" name="门店库存"/>
    <tableColumn id="11" name="DC库存"/>
    <tableColumn id="12" name="在途/待收"/>
    <tableColumn id="13" name="近7日平均销量"/>
    <tableColumn id="14" name="周转天数"/>
    <tableColumn id="15" name="是否超60天"/>
    <tableColumn id="16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hipment" displayName="tblShipment" ref="A1:O5" headerRowCount="1">
  <autoFilter ref="A1:O5"/>
  <tableColumns count="15">
    <tableColumn id="1" name="数据日期"/>
    <tableColumn id="2" name="KA系统"/>
    <tableColumn id="3" name="大区"/>
    <tableColumn id="4" name="省份"/>
    <tableColumn id="5" name="门店编码"/>
    <tableColumn id="6" name="门店名称"/>
    <tableColumn id="7" name="商品编码"/>
    <tableColumn id="8" name="商品名称"/>
    <tableColumn id="9" name="出货数量"/>
    <tableColumn id="10" name="出货金额"/>
    <tableColumn id="11" name="退货数量"/>
    <tableColumn id="12" name="退货金额"/>
    <tableColumn id="13" name="出货字段来源"/>
    <tableColumn id="14" name="退货字段来源"/>
    <tableColumn id="15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tore" displayName="tblStore" ref="A1:I11" headerRowCount="1">
  <autoFilter ref="A1:I11"/>
  <tableColumns count="9">
    <tableColumn id="1" name="KA系统"/>
    <tableColumn id="2" name="门店编码"/>
    <tableColumn id="3" name="门店名称"/>
    <tableColumn id="4" name="是否DC"/>
    <tableColumn id="5" name="大区"/>
    <tableColumn id="6" name="省份"/>
    <tableColumn id="7" name="城市"/>
    <tableColumn id="8" name="内外区"/>
    <tableColumn id="9" name="门店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ku" displayName="tblSku" ref="A1:J6" headerRowCount="1">
  <autoFilter ref="A1:J6"/>
  <tableColumns count="10">
    <tableColumn id="1" name="KA系统"/>
    <tableColumn id="2" name="商品编码"/>
    <tableColumn id="3" name="商品条码"/>
    <tableColumn id="4" name="统一商品名"/>
    <tableColumn id="5" name="系统商品名"/>
    <tableColumn id="6" name="规格"/>
    <tableColumn id="7" name="温层"/>
    <tableColumn id="8" name="口味"/>
    <tableColumn id="9" name="产品线"/>
    <tableColumn id="10" name="是否核心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" customWidth="1" min="13" max="13"/>
  </cols>
  <sheetData>
    <row r="1" ht="22" customHeight="1">
      <c r="A1" s="1" t="inlineStr">
        <is>
          <t>KA销售新增统计字段模板</t>
        </is>
      </c>
    </row>
    <row r="2" ht="22" customHeight="1">
      <c r="A2" s="2" t="inlineStr">
        <is>
          <t>可替换明细页示例数据；总览页公式会自动汇总销售、库存、出货退货与周转风险。</t>
        </is>
      </c>
    </row>
    <row r="3" ht="2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22" customHeight="1">
      <c r="A4" s="3" t="n"/>
      <c r="B4" s="4" t="inlineStr">
        <is>
          <t>销售金额</t>
        </is>
      </c>
      <c r="C4" s="24" t="n"/>
      <c r="D4" s="4" t="inlineStr">
        <is>
          <t>销售数量</t>
        </is>
      </c>
      <c r="E4" s="24" t="n"/>
      <c r="F4" s="3" t="n"/>
      <c r="G4" s="3" t="n"/>
      <c r="H4" s="4" t="inlineStr">
        <is>
          <t>门店库存</t>
        </is>
      </c>
      <c r="I4" s="24" t="n"/>
      <c r="J4" s="4" t="inlineStr">
        <is>
          <t>超60天门店</t>
        </is>
      </c>
      <c r="K4" s="24" t="n"/>
      <c r="L4" s="6" t="inlineStr">
        <is>
          <t>●</t>
        </is>
      </c>
      <c r="M4" s="25" t="n"/>
    </row>
    <row r="5" ht="22" customHeight="1">
      <c r="A5" s="3" t="n"/>
      <c r="B5" s="7">
        <f>SUM('销售明细'!O2:O500)</f>
        <v/>
      </c>
      <c r="C5" s="25" t="n"/>
      <c r="D5" s="8">
        <f>SUM('销售明细'!N2:N500)</f>
        <v/>
      </c>
      <c r="E5" s="25" t="n"/>
      <c r="F5" s="3" t="n"/>
      <c r="G5" s="3" t="n"/>
      <c r="H5" s="9">
        <f>SUM('库存明细'!J2:J500)</f>
        <v/>
      </c>
      <c r="I5" s="25" t="n"/>
      <c r="J5" s="10">
        <f>COUNTIF('库存明细'!O2:O500,"Y")</f>
        <v/>
      </c>
      <c r="K5" s="25" t="n"/>
      <c r="L5" s="26" t="n"/>
      <c r="M5" s="27" t="n"/>
    </row>
    <row r="6" ht="22" customHeight="1">
      <c r="A6" s="3" t="n"/>
      <c r="B6" s="28" t="n"/>
      <c r="C6" s="29" t="n"/>
      <c r="D6" s="28" t="n"/>
      <c r="E6" s="29" t="n"/>
      <c r="F6" s="3" t="n"/>
      <c r="G6" s="3" t="n"/>
      <c r="H6" s="28" t="n"/>
      <c r="I6" s="29" t="n"/>
      <c r="J6" s="28" t="n"/>
      <c r="K6" s="29" t="n"/>
      <c r="L6" s="28" t="n"/>
      <c r="M6" s="29" t="n"/>
    </row>
    <row r="7" ht="2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 ht="22" customHeight="1">
      <c r="A8" s="3" t="n"/>
      <c r="B8" s="11" t="inlineStr">
        <is>
          <t>按系统销售汇总</t>
        </is>
      </c>
      <c r="C8" s="30" t="n"/>
      <c r="D8" s="30" t="n"/>
      <c r="E8" s="30" t="n"/>
      <c r="F8" s="24" t="n"/>
      <c r="G8" s="3" t="n"/>
      <c r="H8" s="11" t="inlineStr">
        <is>
          <t>按日期销售趋势</t>
        </is>
      </c>
      <c r="I8" s="30" t="n"/>
      <c r="J8" s="30" t="n"/>
      <c r="K8" s="30" t="n"/>
      <c r="L8" s="24" t="n"/>
      <c r="M8" s="3" t="n"/>
    </row>
    <row r="9" ht="22" customHeight="1">
      <c r="A9" s="3" t="n"/>
      <c r="B9" s="13" t="inlineStr">
        <is>
          <t>KA系统</t>
        </is>
      </c>
      <c r="C9" s="13" t="inlineStr">
        <is>
          <t>销售金额</t>
        </is>
      </c>
      <c r="D9" s="13" t="inlineStr">
        <is>
          <t>销售数量</t>
        </is>
      </c>
      <c r="E9" s="13" t="inlineStr">
        <is>
          <t>占比</t>
        </is>
      </c>
      <c r="F9" s="3" t="n"/>
      <c r="G9" s="3" t="n"/>
      <c r="H9" s="13" t="inlineStr">
        <is>
          <t>日期</t>
        </is>
      </c>
      <c r="I9" s="13" t="inlineStr">
        <is>
          <t>销售金额</t>
        </is>
      </c>
      <c r="J9" s="13" t="inlineStr">
        <is>
          <t>销售数量</t>
        </is>
      </c>
      <c r="K9" s="13" t="inlineStr">
        <is>
          <t>动销门店</t>
        </is>
      </c>
      <c r="L9" s="3" t="n"/>
      <c r="M9" s="3" t="n"/>
    </row>
    <row r="10" ht="22" customHeight="1">
      <c r="A10" s="3" t="n"/>
      <c r="B10" s="14" t="inlineStr">
        <is>
          <t>大润发</t>
        </is>
      </c>
      <c r="C10" s="15">
        <f>SUMIF('销售明细'!B$2:B$500,B10,'销售明细'!O$2:O$500)</f>
        <v/>
      </c>
      <c r="D10" s="15">
        <f>SUMIF('销售明细'!B$2:B$500,B10,'销售明细'!N$2:N$500)</f>
        <v/>
      </c>
      <c r="E10" s="31">
        <f>IFERROR(C10/SUM($C$10:$C$17),0)</f>
        <v/>
      </c>
      <c r="F10" s="3" t="n"/>
      <c r="G10" s="3" t="n"/>
      <c r="H10" s="32" t="n">
        <v>46166</v>
      </c>
      <c r="I10" s="15">
        <f>SUMIF('销售明细'!A$2:A$500,H10,'销售明细'!O$2:O$500)</f>
        <v/>
      </c>
      <c r="J10" s="15">
        <f>SUMIF('销售明细'!A$2:A$500,H10,'销售明细'!N$2:N$500)</f>
        <v/>
      </c>
      <c r="K10" s="15">
        <f>COUNTIFS('销售明细'!A$2:A$500,H10,'销售明细'!N$2:N$500,"&gt;0")</f>
        <v/>
      </c>
      <c r="L10" s="3" t="n"/>
      <c r="M10" s="3" t="n"/>
    </row>
    <row r="11" ht="22" customHeight="1">
      <c r="A11" s="3" t="n"/>
      <c r="B11" s="14" t="inlineStr">
        <is>
          <t>盒马</t>
        </is>
      </c>
      <c r="C11" s="15">
        <f>SUMIF('销售明细'!B$2:B$500,B11,'销售明细'!O$2:O$500)</f>
        <v/>
      </c>
      <c r="D11" s="15">
        <f>SUMIF('销售明细'!B$2:B$500,B11,'销售明细'!N$2:N$500)</f>
        <v/>
      </c>
      <c r="E11" s="31">
        <f>IFERROR(C11/SUM($C$10:$C$17),0)</f>
        <v/>
      </c>
      <c r="F11" s="3" t="n"/>
      <c r="G11" s="3" t="n"/>
      <c r="H11" s="32" t="n">
        <v>46167</v>
      </c>
      <c r="I11" s="15">
        <f>SUMIF('销售明细'!A$2:A$500,H11,'销售明细'!O$2:O$500)</f>
        <v/>
      </c>
      <c r="J11" s="15">
        <f>SUMIF('销售明细'!A$2:A$500,H11,'销售明细'!N$2:N$500)</f>
        <v/>
      </c>
      <c r="K11" s="15">
        <f>COUNTIFS('销售明细'!A$2:A$500,H11,'销售明细'!N$2:N$500,"&gt;0")</f>
        <v/>
      </c>
      <c r="L11" s="3" t="n"/>
      <c r="M11" s="3" t="n"/>
    </row>
    <row r="12" ht="22" customHeight="1">
      <c r="A12" s="3" t="n"/>
      <c r="B12" s="14" t="inlineStr">
        <is>
          <t>华润</t>
        </is>
      </c>
      <c r="C12" s="15">
        <f>SUMIF('销售明细'!B$2:B$500,B12,'销售明细'!O$2:O$500)</f>
        <v/>
      </c>
      <c r="D12" s="15">
        <f>SUMIF('销售明细'!B$2:B$500,B12,'销售明细'!N$2:N$500)</f>
        <v/>
      </c>
      <c r="E12" s="31">
        <f>IFERROR(C12/SUM($C$10:$C$17),0)</f>
        <v/>
      </c>
      <c r="F12" s="3" t="n"/>
      <c r="G12" s="3" t="n"/>
      <c r="H12" s="32" t="n">
        <v>46168</v>
      </c>
      <c r="I12" s="15">
        <f>SUMIF('销售明细'!A$2:A$500,H12,'销售明细'!O$2:O$500)</f>
        <v/>
      </c>
      <c r="J12" s="15">
        <f>SUMIF('销售明细'!A$2:A$500,H12,'销售明细'!N$2:N$500)</f>
        <v/>
      </c>
      <c r="K12" s="15">
        <f>COUNTIFS('销售明细'!A$2:A$500,H12,'销售明细'!N$2:N$500,"&gt;0")</f>
        <v/>
      </c>
      <c r="L12" s="3" t="n"/>
      <c r="M12" s="3" t="n"/>
    </row>
    <row r="13" ht="22" customHeight="1">
      <c r="A13" s="3" t="n"/>
      <c r="B13" s="14" t="inlineStr">
        <is>
          <t>沃尔玛</t>
        </is>
      </c>
      <c r="C13" s="15">
        <f>SUMIF('销售明细'!B$2:B$500,B13,'销售明细'!O$2:O$500)</f>
        <v/>
      </c>
      <c r="D13" s="15">
        <f>SUMIF('销售明细'!B$2:B$500,B13,'销售明细'!N$2:N$500)</f>
        <v/>
      </c>
      <c r="E13" s="31">
        <f>IFERROR(C13/SUM($C$10:$C$17),0)</f>
        <v/>
      </c>
      <c r="F13" s="3" t="n"/>
      <c r="G13" s="3" t="n"/>
      <c r="H13" s="32" t="n">
        <v>46169</v>
      </c>
      <c r="I13" s="15">
        <f>SUMIF('销售明细'!A$2:A$500,H13,'销售明细'!O$2:O$500)</f>
        <v/>
      </c>
      <c r="J13" s="15">
        <f>SUMIF('销售明细'!A$2:A$500,H13,'销售明细'!N$2:N$500)</f>
        <v/>
      </c>
      <c r="K13" s="15">
        <f>COUNTIFS('销售明细'!A$2:A$500,H13,'销售明细'!N$2:N$500,"&gt;0")</f>
        <v/>
      </c>
      <c r="L13" s="3" t="n"/>
      <c r="M13" s="3" t="n"/>
    </row>
    <row r="14" ht="22" customHeight="1">
      <c r="A14" s="3" t="n"/>
      <c r="B14" s="14" t="inlineStr">
        <is>
          <t>永辉</t>
        </is>
      </c>
      <c r="C14" s="15">
        <f>SUMIF('销售明细'!B$2:B$500,B14,'销售明细'!O$2:O$500)</f>
        <v/>
      </c>
      <c r="D14" s="15">
        <f>SUMIF('销售明细'!B$2:B$500,B14,'销售明细'!N$2:N$500)</f>
        <v/>
      </c>
      <c r="E14" s="31">
        <f>IFERROR(C14/SUM($C$10:$C$17),0)</f>
        <v/>
      </c>
      <c r="F14" s="3" t="n"/>
      <c r="G14" s="3" t="n"/>
      <c r="H14" s="32" t="n">
        <v>46170</v>
      </c>
      <c r="I14" s="15">
        <f>SUMIF('销售明细'!A$2:A$500,H14,'销售明细'!O$2:O$500)</f>
        <v/>
      </c>
      <c r="J14" s="15">
        <f>SUMIF('销售明细'!A$2:A$500,H14,'销售明细'!N$2:N$500)</f>
        <v/>
      </c>
      <c r="K14" s="15">
        <f>COUNTIFS('销售明细'!A$2:A$500,H14,'销售明细'!N$2:N$500,"&gt;0")</f>
        <v/>
      </c>
      <c r="L14" s="3" t="n"/>
      <c r="M14" s="3" t="n"/>
    </row>
    <row r="15" ht="22" customHeight="1">
      <c r="A15" s="3" t="n"/>
      <c r="B15" s="14" t="inlineStr">
        <is>
          <t>天虹</t>
        </is>
      </c>
      <c r="C15" s="15">
        <f>SUMIF('销售明细'!B$2:B$500,B15,'销售明细'!O$2:O$500)</f>
        <v/>
      </c>
      <c r="D15" s="15">
        <f>SUMIF('销售明细'!B$2:B$500,B15,'销售明细'!N$2:N$500)</f>
        <v/>
      </c>
      <c r="E15" s="31">
        <f>IFERROR(C15/SUM($C$10:$C$17),0)</f>
        <v/>
      </c>
      <c r="F15" s="3" t="n"/>
      <c r="G15" s="3" t="n"/>
      <c r="H15" s="32" t="n">
        <v>46171</v>
      </c>
      <c r="I15" s="15">
        <f>SUMIF('销售明细'!A$2:A$500,H15,'销售明细'!O$2:O$500)</f>
        <v/>
      </c>
      <c r="J15" s="15">
        <f>SUMIF('销售明细'!A$2:A$500,H15,'销售明细'!N$2:N$500)</f>
        <v/>
      </c>
      <c r="K15" s="15">
        <f>COUNTIFS('销售明细'!A$2:A$500,H15,'销售明细'!N$2:N$500,"&gt;0")</f>
        <v/>
      </c>
      <c r="L15" s="3" t="n"/>
      <c r="M15" s="3" t="n"/>
    </row>
    <row r="16" ht="22" customHeight="1">
      <c r="A16" s="3" t="n"/>
      <c r="B16" s="14" t="inlineStr">
        <is>
          <t>比优特</t>
        </is>
      </c>
      <c r="C16" s="15">
        <f>SUMIF('销售明细'!B$2:B$500,B16,'销售明细'!O$2:O$500)</f>
        <v/>
      </c>
      <c r="D16" s="15">
        <f>SUMIF('销售明细'!B$2:B$500,B16,'销售明细'!N$2:N$500)</f>
        <v/>
      </c>
      <c r="E16" s="31">
        <f>IFERROR(C16/SUM($C$10:$C$17),0)</f>
        <v/>
      </c>
      <c r="F16" s="3" t="n"/>
      <c r="G16" s="3" t="n"/>
      <c r="H16" s="32" t="n">
        <v>46172</v>
      </c>
      <c r="I16" s="15">
        <f>SUMIF('销售明细'!A$2:A$500,H16,'销售明细'!O$2:O$500)</f>
        <v/>
      </c>
      <c r="J16" s="15">
        <f>SUMIF('销售明细'!A$2:A$500,H16,'销售明细'!N$2:N$500)</f>
        <v/>
      </c>
      <c r="K16" s="15">
        <f>COUNTIFS('销售明细'!A$2:A$500,H16,'销售明细'!N$2:N$500,"&gt;0")</f>
        <v/>
      </c>
      <c r="L16" s="3" t="n"/>
      <c r="M16" s="3" t="n"/>
    </row>
    <row r="17" ht="22" customHeight="1">
      <c r="A17" s="3" t="n"/>
      <c r="B17" s="14" t="inlineStr">
        <is>
          <t>家得福</t>
        </is>
      </c>
      <c r="C17" s="15">
        <f>SUMIF('销售明细'!B$2:B$500,B17,'销售明细'!O$2:O$500)</f>
        <v/>
      </c>
      <c r="D17" s="15">
        <f>SUMIF('销售明细'!B$2:B$500,B17,'销售明细'!N$2:N$500)</f>
        <v/>
      </c>
      <c r="E17" s="31">
        <f>IFERROR(C17/SUM($C$10:$C$17),0)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 ht="22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 ht="22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 ht="22" customHeight="1">
      <c r="A20" s="3" t="n"/>
      <c r="B20" s="11" t="inlineStr">
        <is>
          <t>大区库存周转风险</t>
        </is>
      </c>
      <c r="C20" s="30" t="n"/>
      <c r="D20" s="30" t="n"/>
      <c r="E20" s="30" t="n"/>
      <c r="F20" s="24" t="n"/>
      <c r="G20" s="3" t="n"/>
      <c r="H20" s="11" t="inlineStr">
        <is>
          <t>出货 / POS 对比</t>
        </is>
      </c>
      <c r="I20" s="30" t="n"/>
      <c r="J20" s="30" t="n"/>
      <c r="K20" s="30" t="n"/>
      <c r="L20" s="24" t="n"/>
      <c r="M20" s="3" t="n"/>
    </row>
    <row r="21" ht="22" customHeight="1">
      <c r="A21" s="3" t="n"/>
      <c r="B21" s="13" t="inlineStr">
        <is>
          <t>大区</t>
        </is>
      </c>
      <c r="C21" s="13" t="inlineStr">
        <is>
          <t>门店库存</t>
        </is>
      </c>
      <c r="D21" s="13" t="inlineStr">
        <is>
          <t>近7日均销</t>
        </is>
      </c>
      <c r="E21" s="13" t="inlineStr">
        <is>
          <t>周转天数</t>
        </is>
      </c>
      <c r="F21" s="13" t="inlineStr">
        <is>
          <t>超60天门店</t>
        </is>
      </c>
      <c r="G21" s="3" t="n"/>
      <c r="H21" s="13" t="inlineStr">
        <is>
          <t>KA系统</t>
        </is>
      </c>
      <c r="I21" s="13" t="inlineStr">
        <is>
          <t>POS销售额</t>
        </is>
      </c>
      <c r="J21" s="13" t="inlineStr">
        <is>
          <t>出货金额</t>
        </is>
      </c>
      <c r="K21" s="13" t="inlineStr">
        <is>
          <t>差额</t>
        </is>
      </c>
      <c r="L21" s="13" t="inlineStr">
        <is>
          <t>出货/POS</t>
        </is>
      </c>
      <c r="M21" s="3" t="n"/>
    </row>
    <row r="22" ht="22" customHeight="1">
      <c r="A22" s="3" t="n"/>
      <c r="B22" s="14" t="inlineStr">
        <is>
          <t>华东</t>
        </is>
      </c>
      <c r="C22" s="33">
        <f>SUMIF('库存明细'!C$2:C$500,B22,'库存明细'!J$2:J$500)</f>
        <v/>
      </c>
      <c r="D22" s="33">
        <f>SUMIF('库存明细'!C$2:C$500,B22,'库存明细'!M$2:M$500)</f>
        <v/>
      </c>
      <c r="E22" s="33">
        <f>IFERROR(C22/D22,"")</f>
        <v/>
      </c>
      <c r="F22" s="33">
        <f>COUNTIFS('库存明细'!C$2:C$500,B22,'库存明细'!O$2:O$500,"Y")</f>
        <v/>
      </c>
      <c r="G22" s="3" t="n"/>
      <c r="H22" s="14" t="inlineStr">
        <is>
          <t>大润发</t>
        </is>
      </c>
      <c r="I22" s="15">
        <f>SUMIF('销售明细'!B$2:B$500,H22,'销售明细'!O$2:O$500)</f>
        <v/>
      </c>
      <c r="J22" s="15">
        <f>SUMIF('出货退货'!B$2:B$500,H22,'出货退货'!J$2:J$500)</f>
        <v/>
      </c>
      <c r="K22" s="15">
        <f>J22-I22</f>
        <v/>
      </c>
      <c r="L22" s="31">
        <f>IFERROR(J22/I22,0)</f>
        <v/>
      </c>
      <c r="M22" s="3" t="n"/>
    </row>
    <row r="23" ht="22" customHeight="1">
      <c r="A23" s="3" t="n"/>
      <c r="B23" s="14" t="inlineStr">
        <is>
          <t>华南</t>
        </is>
      </c>
      <c r="C23" s="33">
        <f>SUMIF('库存明细'!C$2:C$500,B23,'库存明细'!J$2:J$500)</f>
        <v/>
      </c>
      <c r="D23" s="33">
        <f>SUMIF('库存明细'!C$2:C$500,B23,'库存明细'!M$2:M$500)</f>
        <v/>
      </c>
      <c r="E23" s="33">
        <f>IFERROR(C23/D23,"")</f>
        <v/>
      </c>
      <c r="F23" s="33">
        <f>COUNTIFS('库存明细'!C$2:C$500,B23,'库存明细'!O$2:O$500,"Y")</f>
        <v/>
      </c>
      <c r="G23" s="3" t="n"/>
      <c r="H23" s="14" t="inlineStr">
        <is>
          <t>盒马</t>
        </is>
      </c>
      <c r="I23" s="15">
        <f>SUMIF('销售明细'!B$2:B$500,H23,'销售明细'!O$2:O$500)</f>
        <v/>
      </c>
      <c r="J23" s="15">
        <f>SUMIF('出货退货'!B$2:B$500,H23,'出货退货'!J$2:J$500)</f>
        <v/>
      </c>
      <c r="K23" s="15">
        <f>J23-I23</f>
        <v/>
      </c>
      <c r="L23" s="31">
        <f>IFERROR(J23/I23,0)</f>
        <v/>
      </c>
      <c r="M23" s="3" t="n"/>
    </row>
    <row r="24" ht="22" customHeight="1">
      <c r="A24" s="3" t="n"/>
      <c r="B24" s="14" t="inlineStr">
        <is>
          <t>华北</t>
        </is>
      </c>
      <c r="C24" s="33">
        <f>SUMIF('库存明细'!C$2:C$500,B24,'库存明细'!J$2:J$500)</f>
        <v/>
      </c>
      <c r="D24" s="33">
        <f>SUMIF('库存明细'!C$2:C$500,B24,'库存明细'!M$2:M$500)</f>
        <v/>
      </c>
      <c r="E24" s="33">
        <f>IFERROR(C24/D24,"")</f>
        <v/>
      </c>
      <c r="F24" s="33">
        <f>COUNTIFS('库存明细'!C$2:C$500,B24,'库存明细'!O$2:O$500,"Y")</f>
        <v/>
      </c>
      <c r="G24" s="3" t="n"/>
      <c r="H24" s="14" t="inlineStr">
        <is>
          <t>华润</t>
        </is>
      </c>
      <c r="I24" s="15">
        <f>SUMIF('销售明细'!B$2:B$500,H24,'销售明细'!O$2:O$500)</f>
        <v/>
      </c>
      <c r="J24" s="15">
        <f>SUMIF('出货退货'!B$2:B$500,H24,'出货退货'!J$2:J$500)</f>
        <v/>
      </c>
      <c r="K24" s="15">
        <f>J24-I24</f>
        <v/>
      </c>
      <c r="L24" s="31">
        <f>IFERROR(J24/I24,0)</f>
        <v/>
      </c>
      <c r="M24" s="3" t="n"/>
    </row>
    <row r="25" ht="22" customHeight="1">
      <c r="A25" s="3" t="n"/>
      <c r="B25" s="14" t="inlineStr">
        <is>
          <t>华中</t>
        </is>
      </c>
      <c r="C25" s="33">
        <f>SUMIF('库存明细'!C$2:C$500,B25,'库存明细'!J$2:J$500)</f>
        <v/>
      </c>
      <c r="D25" s="33">
        <f>SUMIF('库存明细'!C$2:C$500,B25,'库存明细'!M$2:M$500)</f>
        <v/>
      </c>
      <c r="E25" s="33">
        <f>IFERROR(C25/D25,"")</f>
        <v/>
      </c>
      <c r="F25" s="33">
        <f>COUNTIFS('库存明细'!C$2:C$500,B25,'库存明细'!O$2:O$500,"Y")</f>
        <v/>
      </c>
      <c r="G25" s="3" t="n"/>
      <c r="H25" s="14" t="inlineStr">
        <is>
          <t>沃尔玛</t>
        </is>
      </c>
      <c r="I25" s="15">
        <f>SUMIF('销售明细'!B$2:B$500,H25,'销售明细'!O$2:O$500)</f>
        <v/>
      </c>
      <c r="J25" s="15">
        <f>SUMIF('出货退货'!B$2:B$500,H25,'出货退货'!J$2:J$500)</f>
        <v/>
      </c>
      <c r="K25" s="15">
        <f>J25-I25</f>
        <v/>
      </c>
      <c r="L25" s="31">
        <f>IFERROR(J25/I25,0)</f>
        <v/>
      </c>
      <c r="M25" s="3" t="n"/>
    </row>
    <row r="26" ht="22" customHeight="1">
      <c r="A26" s="3" t="n"/>
      <c r="B26" s="14" t="inlineStr">
        <is>
          <t>东北</t>
        </is>
      </c>
      <c r="C26" s="33">
        <f>SUMIF('库存明细'!C$2:C$500,B26,'库存明细'!J$2:J$500)</f>
        <v/>
      </c>
      <c r="D26" s="33">
        <f>SUMIF('库存明细'!C$2:C$500,B26,'库存明细'!M$2:M$500)</f>
        <v/>
      </c>
      <c r="E26" s="33">
        <f>IFERROR(C26/D26,"")</f>
        <v/>
      </c>
      <c r="F26" s="33">
        <f>COUNTIFS('库存明细'!C$2:C$500,B26,'库存明细'!O$2:O$500,"Y")</f>
        <v/>
      </c>
      <c r="G26" s="3" t="n"/>
      <c r="H26" s="14" t="inlineStr">
        <is>
          <t>永辉</t>
        </is>
      </c>
      <c r="I26" s="15">
        <f>SUMIF('销售明细'!B$2:B$500,H26,'销售明细'!O$2:O$500)</f>
        <v/>
      </c>
      <c r="J26" s="15">
        <f>SUMIF('出货退货'!B$2:B$500,H26,'出货退货'!J$2:J$500)</f>
        <v/>
      </c>
      <c r="K26" s="15">
        <f>J26-I26</f>
        <v/>
      </c>
      <c r="L26" s="31">
        <f>IFERROR(J26/I26,0)</f>
        <v/>
      </c>
      <c r="M26" s="3" t="n"/>
    </row>
    <row r="27" ht="22" customHeight="1">
      <c r="A27" s="3" t="n"/>
      <c r="B27" s="3" t="n"/>
      <c r="C27" s="3" t="n"/>
      <c r="D27" s="3" t="n"/>
      <c r="E27" s="3" t="n"/>
      <c r="F27" s="3" t="n"/>
      <c r="G27" s="3" t="n"/>
      <c r="H27" s="14" t="inlineStr">
        <is>
          <t>天虹</t>
        </is>
      </c>
      <c r="I27" s="15">
        <f>SUMIF('销售明细'!B$2:B$500,H27,'销售明细'!O$2:O$500)</f>
        <v/>
      </c>
      <c r="J27" s="15">
        <f>SUMIF('出货退货'!B$2:B$500,H27,'出货退货'!J$2:J$500)</f>
        <v/>
      </c>
      <c r="K27" s="15">
        <f>J27-I27</f>
        <v/>
      </c>
      <c r="L27" s="31">
        <f>IFERROR(J27/I27,0)</f>
        <v/>
      </c>
      <c r="M27" s="3" t="n"/>
    </row>
    <row r="28" ht="22" customHeight="1">
      <c r="A28" s="3" t="n"/>
      <c r="B28" s="3" t="n"/>
      <c r="C28" s="3" t="n"/>
      <c r="D28" s="3" t="n"/>
      <c r="E28" s="3" t="n"/>
      <c r="F28" s="3" t="n"/>
      <c r="G28" s="3" t="n"/>
      <c r="H28" s="14" t="inlineStr">
        <is>
          <t>比优特</t>
        </is>
      </c>
      <c r="I28" s="15">
        <f>SUMIF('销售明细'!B$2:B$500,H28,'销售明细'!O$2:O$500)</f>
        <v/>
      </c>
      <c r="J28" s="15">
        <f>SUMIF('出货退货'!B$2:B$500,H28,'出货退货'!J$2:J$500)</f>
        <v/>
      </c>
      <c r="K28" s="15">
        <f>J28-I28</f>
        <v/>
      </c>
      <c r="L28" s="31">
        <f>IFERROR(J28/I28,0)</f>
        <v/>
      </c>
      <c r="M28" s="3" t="n"/>
    </row>
    <row r="29" ht="22" customHeight="1">
      <c r="A29" s="3" t="n"/>
      <c r="B29" s="3" t="n"/>
      <c r="C29" s="3" t="n"/>
      <c r="D29" s="3" t="n"/>
      <c r="E29" s="3" t="n"/>
      <c r="F29" s="3" t="n"/>
      <c r="G29" s="3" t="n"/>
      <c r="H29" s="14" t="inlineStr">
        <is>
          <t>家得福</t>
        </is>
      </c>
      <c r="I29" s="15">
        <f>SUMIF('销售明细'!B$2:B$500,H29,'销售明细'!O$2:O$500)</f>
        <v/>
      </c>
      <c r="J29" s="15">
        <f>SUMIF('出货退货'!B$2:B$500,H29,'出货退货'!J$2:J$500)</f>
        <v/>
      </c>
      <c r="K29" s="15">
        <f>J29-I29</f>
        <v/>
      </c>
      <c r="L29" s="31">
        <f>IFERROR(J29/I29,0)</f>
        <v/>
      </c>
      <c r="M29" s="3" t="n"/>
    </row>
    <row r="30" ht="22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 ht="22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 ht="22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 ht="22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 ht="22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 ht="22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 ht="22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 ht="22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 ht="22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 ht="22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 ht="22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 ht="22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 ht="22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 ht="22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 ht="22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 ht="22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 ht="22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 ht="2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 ht="22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 ht="2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 ht="22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 ht="2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 ht="22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 ht="2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 ht="22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 ht="2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 ht="22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</row>
    <row r="57" ht="2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 ht="2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</row>
    <row r="59" ht="2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</row>
  </sheetData>
  <mergeCells count="15">
    <mergeCell ref="J4:K4"/>
    <mergeCell ref="A1:M1"/>
    <mergeCell ref="B20:F20"/>
    <mergeCell ref="H20:L20"/>
    <mergeCell ref="B5:C6"/>
    <mergeCell ref="D5:E6"/>
    <mergeCell ref="H8:L8"/>
    <mergeCell ref="D4:E4"/>
    <mergeCell ref="H4:I4"/>
    <mergeCell ref="B8:F8"/>
    <mergeCell ref="H5:I6"/>
    <mergeCell ref="J5:K6"/>
    <mergeCell ref="A2:M2"/>
    <mergeCell ref="B4:C4"/>
    <mergeCell ref="L4:M6"/>
  </mergeCells>
  <conditionalFormatting sqref="E22:E26">
    <cfRule type="cellIs" priority="1" operator="greaterThan" dxfId="0">
      <formula>60</formula>
    </cfRule>
    <cfRule type="iconSet" priority="2">
      <iconSet iconSet="3TrafficLights1" showValue="1">
        <cfvo type="num" val="30"/>
        <cfvo type="num" val="60"/>
        <cfvo type="num" val="120"/>
      </iconSet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1" customHeight="1">
      <c r="N1" s="34" t="inlineStr">
        <is>
          <t>统计时间：  2026-05-31</t>
        </is>
      </c>
    </row>
    <row r="2" ht="21" customHeight="1">
      <c r="A2" s="35" t="n"/>
      <c r="B2" s="36" t="inlineStr">
        <is>
          <t>销售额</t>
        </is>
      </c>
      <c r="C2" s="35" t="n"/>
      <c r="D2" s="35" t="n"/>
      <c r="E2" s="35" t="n"/>
      <c r="F2" s="36" t="inlineStr">
        <is>
          <t>销量</t>
        </is>
      </c>
      <c r="G2" s="35" t="n"/>
      <c r="H2" s="35" t="n"/>
      <c r="I2" s="35" t="n"/>
      <c r="J2" s="35" t="n"/>
      <c r="K2" s="36" t="inlineStr">
        <is>
          <t>当月日均销量</t>
        </is>
      </c>
      <c r="L2" s="35" t="n"/>
      <c r="M2" s="35" t="n"/>
      <c r="N2" s="35" t="n"/>
      <c r="Q2" s="37" t="inlineStr">
        <is>
          <t>品项</t>
        </is>
      </c>
      <c r="R2" s="37" t="inlineStr">
        <is>
          <t>销售额</t>
        </is>
      </c>
      <c r="S2" s="37" t="inlineStr">
        <is>
          <t>销量</t>
        </is>
      </c>
      <c r="T2" s="37" t="inlineStr">
        <is>
          <t>PSD</t>
        </is>
      </c>
      <c r="U2" s="37" t="inlineStr">
        <is>
          <t>库存</t>
        </is>
      </c>
      <c r="V2" s="37" t="inlineStr">
        <is>
          <t>周转天数</t>
        </is>
      </c>
      <c r="W2" t="inlineStr">
        <is>
          <t>日期</t>
        </is>
      </c>
      <c r="X2" t="inlineStr">
        <is>
          <t>蒜香 780g</t>
        </is>
      </c>
      <c r="Y2" t="inlineStr">
        <is>
          <t>藤椒 780g</t>
        </is>
      </c>
      <c r="Z2" t="inlineStr">
        <is>
          <t>柠檬 780g</t>
        </is>
      </c>
    </row>
    <row r="3" ht="21" customHeight="1">
      <c r="A3" s="35" t="n"/>
      <c r="B3" s="38" t="inlineStr">
        <is>
          <t>0元</t>
        </is>
      </c>
      <c r="C3" s="35" t="n"/>
      <c r="D3" s="35" t="n"/>
      <c r="E3" s="35" t="n"/>
      <c r="F3" s="38" t="inlineStr">
        <is>
          <t>0罐</t>
        </is>
      </c>
      <c r="G3" s="35" t="n"/>
      <c r="H3" s="35" t="n"/>
      <c r="I3" s="35" t="n"/>
      <c r="J3" s="35" t="n"/>
      <c r="K3" s="38" t="inlineStr">
        <is>
          <t>790罐</t>
        </is>
      </c>
      <c r="L3" s="35" t="n"/>
      <c r="M3" s="35" t="n"/>
      <c r="N3" s="35" t="n"/>
      <c r="Q3" t="inlineStr">
        <is>
          <t>蒜香 780g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39" t="n">
        <v>46167</v>
      </c>
      <c r="X3" t="n">
        <v>0</v>
      </c>
      <c r="Y3" t="n">
        <v>0</v>
      </c>
      <c r="Z3" t="n">
        <v>0</v>
      </c>
    </row>
    <row r="4" ht="21" customHeight="1">
      <c r="A4" s="35" t="n"/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Q4" t="inlineStr">
        <is>
          <t>藤椒 780g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39" t="n">
        <v>46168</v>
      </c>
      <c r="X4" t="n">
        <v>0</v>
      </c>
      <c r="Y4" t="n">
        <v>0</v>
      </c>
      <c r="Z4" t="n">
        <v>0</v>
      </c>
    </row>
    <row r="5" ht="21" customHeight="1">
      <c r="A5" s="35" t="n"/>
      <c r="B5" s="40" t="inlineStr">
        <is>
          <t>环比昨日↓100.0%</t>
        </is>
      </c>
      <c r="C5" s="35" t="n"/>
      <c r="D5" s="35" t="n"/>
      <c r="E5" s="35" t="n"/>
      <c r="F5" s="40" t="inlineStr">
        <is>
          <t>环比昨日↓100.0%</t>
        </is>
      </c>
      <c r="G5" s="35" t="n"/>
      <c r="H5" s="35" t="n"/>
      <c r="I5" s="35" t="n"/>
      <c r="J5" s="35" t="n"/>
      <c r="K5" s="35" t="n"/>
      <c r="L5" s="35" t="n"/>
      <c r="M5" s="35" t="n"/>
      <c r="N5" s="35" t="n"/>
      <c r="Q5" t="inlineStr">
        <is>
          <t>柠檬 780g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s="39" t="n">
        <v>46169</v>
      </c>
      <c r="X5" t="n">
        <v>0</v>
      </c>
      <c r="Y5" t="n">
        <v>0</v>
      </c>
      <c r="Z5" t="n">
        <v>0</v>
      </c>
    </row>
    <row r="6" ht="21" customHeight="1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W6" s="39" t="n">
        <v>46170</v>
      </c>
      <c r="X6" t="n">
        <v>0</v>
      </c>
      <c r="Y6" t="n">
        <v>0</v>
      </c>
      <c r="Z6" t="n">
        <v>0</v>
      </c>
    </row>
    <row r="7" ht="21" customHeight="1">
      <c r="A7" s="35" t="n"/>
      <c r="B7" s="36" t="inlineStr">
        <is>
          <t>库存</t>
        </is>
      </c>
      <c r="C7" s="35" t="n"/>
      <c r="D7" s="35" t="n"/>
      <c r="E7" s="35" t="n"/>
      <c r="F7" s="36" t="inlineStr">
        <is>
          <t>有库存门店数</t>
        </is>
      </c>
      <c r="G7" s="35" t="n"/>
      <c r="H7" s="35" t="n"/>
      <c r="I7" s="35" t="n"/>
      <c r="J7" s="35" t="n"/>
      <c r="K7" s="36" t="inlineStr">
        <is>
          <t>动销门店数</t>
        </is>
      </c>
      <c r="L7" s="35" t="n"/>
      <c r="M7" s="35" t="n"/>
      <c r="N7" s="35" t="n"/>
      <c r="W7" s="39" t="n">
        <v>46171</v>
      </c>
      <c r="X7" t="n">
        <v>0</v>
      </c>
      <c r="Y7" t="n">
        <v>0</v>
      </c>
      <c r="Z7" t="n">
        <v>0</v>
      </c>
    </row>
    <row r="8" ht="21" customHeight="1">
      <c r="A8" s="35" t="n"/>
      <c r="B8" s="38" t="inlineStr">
        <is>
          <t>0罐</t>
        </is>
      </c>
      <c r="C8" s="35" t="n"/>
      <c r="D8" s="35" t="n"/>
      <c r="E8" s="35" t="n"/>
      <c r="F8" s="38" t="inlineStr">
        <is>
          <t>1家</t>
        </is>
      </c>
      <c r="G8" s="35" t="n"/>
      <c r="H8" s="35" t="n"/>
      <c r="I8" s="35" t="n"/>
      <c r="J8" s="35" t="n"/>
      <c r="K8" s="38" t="inlineStr">
        <is>
          <t>1家</t>
        </is>
      </c>
      <c r="L8" s="35" t="n"/>
      <c r="M8" s="35" t="n"/>
      <c r="N8" s="35" t="n"/>
      <c r="W8" s="39" t="n">
        <v>46172</v>
      </c>
      <c r="X8" t="n">
        <v>0</v>
      </c>
      <c r="Y8" t="n">
        <v>0</v>
      </c>
      <c r="Z8" t="n">
        <v>0</v>
      </c>
    </row>
    <row r="9" ht="21" customHeight="1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W9" s="39" t="n">
        <v>46173</v>
      </c>
      <c r="X9" t="n">
        <v>0</v>
      </c>
      <c r="Y9" t="n">
        <v>0</v>
      </c>
      <c r="Z9" t="n">
        <v>0</v>
      </c>
    </row>
    <row r="10" ht="21" customHeight="1">
      <c r="A10" s="35" t="n"/>
      <c r="B10" s="40" t="inlineStr">
        <is>
          <t>环比昨日↓100.0%</t>
        </is>
      </c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</row>
    <row r="11" ht="21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</row>
    <row r="12" ht="21" customHeight="1"/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>
      <c r="A56" s="41" t="inlineStr">
        <is>
          <t>门店明细-动销TOP5</t>
        </is>
      </c>
      <c r="B56" s="42" t="n"/>
      <c r="C56" s="42" t="n"/>
      <c r="D56" s="42" t="n"/>
      <c r="E56" s="42" t="n"/>
      <c r="F56" s="42" t="n"/>
      <c r="G56" s="42" t="n"/>
    </row>
    <row r="57" ht="21" customHeight="1">
      <c r="A57" s="43" t="inlineStr">
        <is>
          <t>门店名称</t>
        </is>
      </c>
      <c r="B57" s="43" t="inlineStr">
        <is>
          <t>销售数量</t>
        </is>
      </c>
      <c r="C57" s="43" t="inlineStr">
        <is>
          <t>销售金额</t>
        </is>
      </c>
      <c r="D57" s="43" t="inlineStr">
        <is>
          <t>库存数量</t>
        </is>
      </c>
      <c r="E57" s="43" t="inlineStr">
        <is>
          <t>库存金额</t>
        </is>
      </c>
      <c r="F57" s="43" t="inlineStr">
        <is>
          <t>库存天数</t>
        </is>
      </c>
      <c r="G57" s="43" t="inlineStr">
        <is>
          <t>排名</t>
        </is>
      </c>
    </row>
    <row r="58" ht="21" customHeight="1">
      <c r="A58" s="44" t="inlineStr">
        <is>
          <t>保定定州万达店</t>
        </is>
      </c>
      <c r="B58" s="45" t="n">
        <v>50</v>
      </c>
      <c r="C58" s="46" t="n">
        <v>1344.9</v>
      </c>
      <c r="D58" s="45" t="n">
        <v>315</v>
      </c>
      <c r="E58" s="46" t="n">
        <v>5156.5</v>
      </c>
      <c r="F58" s="46" t="n">
        <v>6.3</v>
      </c>
      <c r="G58" s="45" t="n">
        <v>1</v>
      </c>
    </row>
    <row r="59" ht="21" customHeight="1">
      <c r="A59" s="44" t="inlineStr">
        <is>
          <t>天津SM店</t>
        </is>
      </c>
      <c r="B59" s="45" t="n">
        <v>47</v>
      </c>
      <c r="C59" s="46" t="n">
        <v>1259.9</v>
      </c>
      <c r="D59" s="45" t="n">
        <v>333</v>
      </c>
      <c r="E59" s="46" t="n">
        <v>5451.1</v>
      </c>
      <c r="F59" s="46" t="n">
        <v>7.1</v>
      </c>
      <c r="G59" s="45" t="n">
        <v>2</v>
      </c>
    </row>
    <row r="60" ht="21" customHeight="1">
      <c r="A60" s="44" t="inlineStr">
        <is>
          <t>广州海珠丽影广场店</t>
        </is>
      </c>
      <c r="B60" s="45" t="n">
        <v>38</v>
      </c>
      <c r="C60" s="46" t="n">
        <v>1022.2</v>
      </c>
      <c r="D60" s="45" t="n">
        <v>286</v>
      </c>
      <c r="E60" s="46" t="n">
        <v>4681.8</v>
      </c>
      <c r="F60" s="46" t="n">
        <v>7.5</v>
      </c>
      <c r="G60" s="45" t="n">
        <v>3</v>
      </c>
    </row>
    <row r="61" ht="21" customHeight="1">
      <c r="A61" s="44" t="inlineStr">
        <is>
          <t>兰州城关万达店</t>
        </is>
      </c>
      <c r="B61" s="45" t="n">
        <v>37</v>
      </c>
      <c r="C61" s="46" t="n">
        <v>993.8</v>
      </c>
      <c r="D61" s="45" t="n">
        <v>206</v>
      </c>
      <c r="E61" s="46" t="n">
        <v>3372.1</v>
      </c>
      <c r="F61" s="46" t="n">
        <v>5.6</v>
      </c>
      <c r="G61" s="45" t="n">
        <v>4</v>
      </c>
    </row>
    <row r="62" ht="21" customHeight="1">
      <c r="A62" s="44" t="inlineStr">
        <is>
          <t>沈阳浑南龙湖店</t>
        </is>
      </c>
      <c r="B62" s="45" t="n">
        <v>36</v>
      </c>
      <c r="C62" s="46" t="n">
        <v>962.4</v>
      </c>
      <c r="D62" s="45" t="n">
        <v>310</v>
      </c>
      <c r="E62" s="46" t="n">
        <v>5074.7</v>
      </c>
      <c r="F62" s="46" t="n">
        <v>8.6</v>
      </c>
      <c r="G62" s="45" t="n">
        <v>5</v>
      </c>
    </row>
    <row r="63" ht="21" customHeight="1">
      <c r="B63" s="47" t="n"/>
      <c r="D63" s="47" t="n"/>
      <c r="G63" s="47" t="n"/>
    </row>
    <row r="64" ht="21" customHeight="1">
      <c r="A64" s="43" t="inlineStr">
        <is>
          <t>广州花都融创茂店</t>
        </is>
      </c>
      <c r="B64" s="48" t="n">
        <v>12</v>
      </c>
      <c r="C64" s="49" t="n">
        <v>322.8</v>
      </c>
      <c r="D64" s="48" t="n">
        <v>201</v>
      </c>
      <c r="E64" s="49" t="n">
        <v>3290.3</v>
      </c>
      <c r="F64" s="49" t="n">
        <v>16.8</v>
      </c>
      <c r="G64" s="48" t="n">
        <v>4</v>
      </c>
    </row>
    <row r="65" ht="21" customHeight="1">
      <c r="A65" s="50" t="inlineStr">
        <is>
          <t>深圳光明大仟里店</t>
        </is>
      </c>
      <c r="B65" s="51" t="n">
        <v>12</v>
      </c>
      <c r="C65" s="52" t="n">
        <v>322.8</v>
      </c>
      <c r="D65" s="50" t="inlineStr"/>
      <c r="E65" s="52" t="n">
        <v>2782.8</v>
      </c>
      <c r="F65" s="52" t="n">
        <v>14.2</v>
      </c>
      <c r="G65" s="50" t="inlineStr"/>
    </row>
    <row r="66" ht="21" customHeight="1">
      <c r="A66" s="44" t="inlineStr">
        <is>
          <t>深圳南山京东酒馆店</t>
        </is>
      </c>
      <c r="B66" s="45" t="n">
        <v>7</v>
      </c>
      <c r="C66" s="46" t="n">
        <v>188.3</v>
      </c>
      <c r="D66" s="44" t="inlineStr"/>
      <c r="E66" s="46" t="n">
        <v>2226.3</v>
      </c>
      <c r="F66" s="46" t="n">
        <v>19.4</v>
      </c>
      <c r="G66" s="44" t="inlineStr"/>
    </row>
    <row r="67" ht="21" customHeight="1">
      <c r="A67" s="44" t="inlineStr">
        <is>
          <t>深圳罗湖金光华店</t>
        </is>
      </c>
      <c r="B67" s="45" t="n">
        <v>7</v>
      </c>
      <c r="C67" s="46" t="n">
        <v>188.3</v>
      </c>
      <c r="D67" s="44" t="inlineStr"/>
      <c r="E67" s="46" t="n">
        <v>2029.9</v>
      </c>
      <c r="F67" s="46" t="n">
        <v>17.7</v>
      </c>
      <c r="G67" s="44" t="inlineStr"/>
    </row>
    <row r="68" ht="21" customHeight="1">
      <c r="A68" s="44" t="inlineStr">
        <is>
          <t>重庆云阳滨江大道店</t>
        </is>
      </c>
      <c r="B68" s="45" t="n">
        <v>8</v>
      </c>
      <c r="C68" s="46" t="n">
        <v>215.2</v>
      </c>
      <c r="D68" s="44" t="inlineStr"/>
      <c r="E68" s="46" t="n">
        <v>1718.8</v>
      </c>
      <c r="F68" s="46" t="n">
        <v>13.1</v>
      </c>
      <c r="G68" s="44" t="inlineStr"/>
    </row>
    <row r="69" ht="21" customHeight="1">
      <c r="A69" s="44" t="inlineStr">
        <is>
          <t>杭州滨江宝龙店</t>
        </is>
      </c>
      <c r="B69" s="45" t="n">
        <v>2</v>
      </c>
      <c r="C69" s="46" t="n">
        <v>53.8</v>
      </c>
      <c r="D69" s="44" t="inlineStr"/>
      <c r="E69" s="46" t="n">
        <v>376.5</v>
      </c>
      <c r="F69" s="46" t="n">
        <v>11.5</v>
      </c>
      <c r="G69" s="44" t="inlineStr"/>
    </row>
    <row r="70" ht="21" customHeight="1">
      <c r="A70" s="44" t="inlineStr">
        <is>
          <t>西安阳光天地店</t>
        </is>
      </c>
      <c r="B70" s="45" t="n">
        <v>2</v>
      </c>
      <c r="C70" s="46" t="n">
        <v>53.8</v>
      </c>
      <c r="D70" s="44" t="inlineStr"/>
      <c r="E70" s="46" t="n">
        <v>1195</v>
      </c>
      <c r="F70" s="46" t="n">
        <v>36.5</v>
      </c>
      <c r="G70" s="44" t="inlineStr"/>
    </row>
    <row r="71" ht="21" customHeight="1">
      <c r="A71" s="44" t="inlineStr">
        <is>
          <t>合肥瑶海万达店</t>
        </is>
      </c>
      <c r="B71" s="45" t="n">
        <v>0</v>
      </c>
      <c r="C71" s="46" t="n">
        <v>0</v>
      </c>
      <c r="D71" s="44" t="inlineStr"/>
      <c r="E71" s="46" t="n">
        <v>409.3</v>
      </c>
      <c r="F71" s="44" t="e">
        <v>#NUM!</v>
      </c>
      <c r="G71" s="44" t="inlineStr"/>
    </row>
    <row r="72" ht="21" customHeight="1">
      <c r="A72" s="44" t="inlineStr">
        <is>
          <t>合肥旺东风大道店</t>
        </is>
      </c>
      <c r="B72" s="45" t="n">
        <v>0</v>
      </c>
      <c r="C72" s="46" t="n">
        <v>0</v>
      </c>
      <c r="D72" s="44" t="inlineStr"/>
      <c r="E72" s="46" t="n">
        <v>409.3</v>
      </c>
      <c r="F72" s="44" t="e">
        <v>#NUM!</v>
      </c>
      <c r="G72" s="44" t="inlineStr"/>
    </row>
    <row r="73" ht="21" customHeight="1">
      <c r="A73" s="44" t="inlineStr">
        <is>
          <t>合肥肥东吾悦店</t>
        </is>
      </c>
      <c r="B73" s="45" t="n">
        <v>0</v>
      </c>
      <c r="C73" s="46" t="n">
        <v>0</v>
      </c>
      <c r="D73" s="44" t="inlineStr"/>
      <c r="E73" s="46" t="n">
        <v>409.3</v>
      </c>
      <c r="F73" s="44" t="e">
        <v>#NUM!</v>
      </c>
      <c r="G73" s="44" t="inlineStr"/>
    </row>
    <row r="74" ht="21" customHeight="1">
      <c r="A74" s="44" t="inlineStr">
        <is>
          <t>合肥宝文店</t>
        </is>
      </c>
      <c r="B74" s="45" t="n">
        <v>0</v>
      </c>
      <c r="C74" s="46" t="n">
        <v>0</v>
      </c>
      <c r="D74" s="44" t="inlineStr"/>
      <c r="E74" s="46" t="n">
        <v>409.3</v>
      </c>
      <c r="F74" s="44" t="e">
        <v>#NUM!</v>
      </c>
      <c r="G74" s="44" t="inlineStr"/>
    </row>
    <row r="75" ht="21" customHeight="1">
      <c r="A75" s="44" t="inlineStr">
        <is>
          <t>合肥瑶海n7店</t>
        </is>
      </c>
      <c r="B75" s="45" t="n">
        <v>0</v>
      </c>
      <c r="C75" s="46" t="n">
        <v>0</v>
      </c>
      <c r="D75" s="44" t="inlineStr"/>
      <c r="E75" s="46" t="n">
        <v>409.3</v>
      </c>
      <c r="F75" s="44" t="e">
        <v>#NUM!</v>
      </c>
      <c r="G75" s="44" t="inlineStr"/>
    </row>
    <row r="76" ht="21" customHeight="1">
      <c r="A76" s="44" t="inlineStr">
        <is>
          <t>巢湖万达店</t>
        </is>
      </c>
      <c r="B76" s="45" t="n">
        <v>0</v>
      </c>
      <c r="C76" s="46" t="n">
        <v>0</v>
      </c>
      <c r="D76" s="44" t="inlineStr"/>
      <c r="E76" s="46" t="n">
        <v>409.3</v>
      </c>
      <c r="F76" s="44" t="e">
        <v>#NUM!</v>
      </c>
      <c r="G76" s="44" t="inlineStr"/>
    </row>
    <row r="77" ht="21" customHeight="1">
      <c r="A77" s="44" t="inlineStr">
        <is>
          <t>惠州大亚湾万达店</t>
        </is>
      </c>
      <c r="B77" s="45" t="n">
        <v>0</v>
      </c>
      <c r="C77" s="46" t="n">
        <v>0</v>
      </c>
      <c r="D77" s="44" t="inlineStr"/>
      <c r="E77" s="46" t="n">
        <v>30.8</v>
      </c>
      <c r="F77" s="44" t="e">
        <v>#NUM!</v>
      </c>
      <c r="G77" s="44" t="inlineStr"/>
    </row>
    <row r="78" ht="21" customHeight="1">
      <c r="A78" s="44" t="inlineStr">
        <is>
          <t>成都锦江交华店</t>
        </is>
      </c>
      <c r="B78" s="45" t="n">
        <v>0</v>
      </c>
      <c r="C78" s="46" t="n">
        <v>0</v>
      </c>
      <c r="D78" s="44" t="inlineStr"/>
      <c r="E78" s="46" t="n">
        <v>123.2</v>
      </c>
      <c r="F78" s="44" t="e">
        <v>#NUM!</v>
      </c>
      <c r="G78" s="44" t="inlineStr"/>
    </row>
    <row r="79" ht="21" customHeight="1">
      <c r="A79" s="44" t="inlineStr">
        <is>
          <t>深圳光明大仟里店</t>
        </is>
      </c>
      <c r="B79" s="45" t="n">
        <v>0</v>
      </c>
      <c r="C79" s="46" t="n">
        <v>0</v>
      </c>
      <c r="D79" s="44" t="inlineStr"/>
      <c r="E79" s="46" t="n">
        <v>1971.2</v>
      </c>
      <c r="F79" s="44" t="e">
        <v>#NUM!</v>
      </c>
      <c r="G79" s="44" t="inlineStr"/>
    </row>
    <row r="80" ht="21" customHeight="1">
      <c r="A80" s="44" t="inlineStr">
        <is>
          <t>深圳宝安大仟里店</t>
        </is>
      </c>
      <c r="B80" s="45" t="n">
        <v>0</v>
      </c>
      <c r="C80" s="46" t="n">
        <v>0</v>
      </c>
      <c r="D80" s="44" t="inlineStr"/>
      <c r="E80" s="46" t="n">
        <v>277.2</v>
      </c>
      <c r="F80" s="44" t="e">
        <v>#NUM!</v>
      </c>
      <c r="G80" s="44" t="inlineStr"/>
    </row>
    <row r="81" ht="21" customHeight="1">
      <c r="A81" s="44" t="inlineStr">
        <is>
          <t>深圳罗湖益田假日店</t>
        </is>
      </c>
      <c r="B81" s="45" t="n">
        <v>0</v>
      </c>
      <c r="C81" s="46" t="n">
        <v>0</v>
      </c>
      <c r="D81" s="44" t="inlineStr"/>
      <c r="E81" s="46" t="n">
        <v>30.8</v>
      </c>
      <c r="F81" s="44" t="e">
        <v>#NUM!</v>
      </c>
      <c r="G81" s="44" t="inlineStr"/>
    </row>
    <row r="82" ht="21" customHeight="1">
      <c r="A82" s="44" t="inlineStr">
        <is>
          <t>盐城中南城店</t>
        </is>
      </c>
      <c r="B82" s="45" t="n">
        <v>0</v>
      </c>
      <c r="C82" s="46" t="n">
        <v>0</v>
      </c>
      <c r="D82" s="44" t="inlineStr"/>
      <c r="E82" s="46" t="n">
        <v>409.3</v>
      </c>
      <c r="F82" s="44" t="e">
        <v>#NUM!</v>
      </c>
      <c r="G82" s="44" t="inlineStr"/>
    </row>
    <row r="83" ht="21" customHeight="1">
      <c r="A83" s="44" t="inlineStr">
        <is>
          <t>重庆市-较场口站</t>
        </is>
      </c>
      <c r="B83" s="45" t="n">
        <v>0</v>
      </c>
      <c r="C83" s="46" t="n">
        <v>0</v>
      </c>
      <c r="D83" s="44" t="inlineStr"/>
      <c r="E83" s="46" t="n">
        <v>61.6</v>
      </c>
      <c r="F83" s="44" t="e">
        <v>#NUM!</v>
      </c>
      <c r="G83" s="44" t="inlineStr"/>
    </row>
    <row r="84" ht="21" customHeight="1">
      <c r="A84" s="44" t="inlineStr">
        <is>
          <t>阜阳商厦中心店</t>
        </is>
      </c>
      <c r="B84" s="45" t="n">
        <v>0</v>
      </c>
      <c r="C84" s="46" t="n">
        <v>0</v>
      </c>
      <c r="D84" s="44" t="inlineStr"/>
      <c r="E84" s="46" t="n">
        <v>409.2</v>
      </c>
      <c r="F84" s="44" t="e">
        <v>#NUM!</v>
      </c>
      <c r="G84" s="44" t="inlineStr"/>
    </row>
    <row r="85" ht="21" customHeight="1">
      <c r="A85" s="44" t="inlineStr">
        <is>
          <t>阜阳颍州万达店</t>
        </is>
      </c>
      <c r="B85" s="45" t="n">
        <v>0</v>
      </c>
      <c r="C85" s="46" t="n">
        <v>0</v>
      </c>
      <c r="D85" s="44" t="inlineStr"/>
      <c r="E85" s="46" t="n">
        <v>409.3</v>
      </c>
      <c r="F85" s="44" t="e">
        <v>#NUM!</v>
      </c>
      <c r="G85" s="44" t="inlineStr"/>
    </row>
    <row r="86" ht="21" customHeight="1"/>
    <row r="87" ht="21" customHeight="1">
      <c r="A87" s="43" t="inlineStr">
        <is>
          <t>门店名称</t>
        </is>
      </c>
      <c r="B87" s="43" t="inlineStr">
        <is>
          <t>销量</t>
        </is>
      </c>
      <c r="C87" s="43" t="inlineStr"/>
      <c r="D87" s="43" t="inlineStr">
        <is>
          <t>门店名称</t>
        </is>
      </c>
      <c r="E87" s="43" t="inlineStr">
        <is>
          <t>销量</t>
        </is>
      </c>
      <c r="F87" s="43" t="inlineStr"/>
    </row>
    <row r="88" ht="21" customHeight="1">
      <c r="A88" s="44" t="inlineStr">
        <is>
          <t>成都锦江城市花园店</t>
        </is>
      </c>
      <c r="B88" s="44" t="n">
        <v>30</v>
      </c>
      <c r="C88" s="44" t="inlineStr"/>
      <c r="D88" s="44" t="inlineStr">
        <is>
          <t>深圳罗湖金光华店</t>
        </is>
      </c>
      <c r="E88" s="44" t="n">
        <v>11</v>
      </c>
      <c r="F88" s="44" t="inlineStr"/>
    </row>
    <row r="89" ht="21" customHeight="1">
      <c r="A89" s="44" t="inlineStr">
        <is>
          <t>重庆市-华福大道站</t>
        </is>
      </c>
      <c r="B89" s="44" t="n">
        <v>29</v>
      </c>
      <c r="C89" s="44" t="inlineStr"/>
      <c r="D89" s="44" t="inlineStr">
        <is>
          <t>昆明五华吾悦店</t>
        </is>
      </c>
      <c r="E89" s="44" t="n">
        <v>9</v>
      </c>
      <c r="F89" s="44" t="inlineStr"/>
    </row>
    <row r="90" ht="21" customHeight="1">
      <c r="A90" s="44" t="inlineStr">
        <is>
          <t>嘉兴桐乡吾悦店</t>
        </is>
      </c>
      <c r="B90" s="44" t="n">
        <v>28</v>
      </c>
      <c r="C90" s="44" t="inlineStr"/>
      <c r="D90" s="44" t="inlineStr">
        <is>
          <t>大厦望府东路彩虹店</t>
        </is>
      </c>
      <c r="E90" s="44" t="n">
        <v>9</v>
      </c>
      <c r="F90" s="44" t="inlineStr"/>
    </row>
    <row r="91" ht="21" customHeight="1">
      <c r="A91" s="44" t="inlineStr">
        <is>
          <t>永辉重庆市--万国城站</t>
        </is>
      </c>
      <c r="B91" s="44" t="n">
        <v>28</v>
      </c>
      <c r="C91" s="44" t="inlineStr"/>
      <c r="D91" s="44" t="inlineStr">
        <is>
          <t>西安西长安街店</t>
        </is>
      </c>
      <c r="E91" s="44" t="n">
        <v>9</v>
      </c>
      <c r="F91" s="44" t="inlineStr"/>
    </row>
    <row r="92" ht="21" customHeight="1">
      <c r="A92" s="44" t="inlineStr"/>
      <c r="B92" s="44" t="inlineStr"/>
      <c r="C92" s="44" t="inlineStr"/>
      <c r="D92" s="44" t="inlineStr">
        <is>
          <t>北京丰科万达店</t>
        </is>
      </c>
      <c r="E92" s="44" t="n">
        <v>9</v>
      </c>
      <c r="F92" s="44" t="inlineStr"/>
    </row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</sheetData>
  <mergeCells count="1">
    <mergeCell ref="A56:G56"/>
  </mergeCells>
  <conditionalFormatting sqref="F65:F85">
    <cfRule type="cellIs" priority="1" operator="equal" dxfId="1">
      <formula>"#NUM!"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24" customWidth="1" min="6" max="6"/>
    <col width="9" customWidth="1" min="7" max="7"/>
    <col width="14" customWidth="1" min="8" max="8"/>
    <col width="16" customWidth="1" min="9" max="9"/>
    <col width="32" customWidth="1" min="10" max="10"/>
    <col width="12" customWidth="1" min="11" max="11"/>
    <col width="10" customWidth="1" min="12" max="12"/>
    <col width="12" customWidth="1" min="13" max="13"/>
    <col width="12" customWidth="1" min="14" max="14"/>
    <col width="14" customWidth="1" min="15" max="15"/>
    <col width="10" customWidth="1" min="16" max="16"/>
    <col width="10" customWidth="1" min="17" max="17"/>
    <col width="20" customWidth="1" min="18" max="18"/>
  </cols>
  <sheetData>
    <row r="1">
      <c r="A1" s="13" t="inlineStr">
        <is>
          <t>数据日期</t>
        </is>
      </c>
      <c r="B1" s="13" t="inlineStr">
        <is>
          <t>KA系统</t>
        </is>
      </c>
      <c r="C1" s="13" t="inlineStr">
        <is>
          <t>大区</t>
        </is>
      </c>
      <c r="D1" s="13" t="inlineStr">
        <is>
          <t>省份</t>
        </is>
      </c>
      <c r="E1" s="13" t="inlineStr">
        <is>
          <t>门店编码</t>
        </is>
      </c>
      <c r="F1" s="13" t="inlineStr">
        <is>
          <t>门店名称</t>
        </is>
      </c>
      <c r="G1" s="13" t="inlineStr">
        <is>
          <t>是否DC</t>
        </is>
      </c>
      <c r="H1" s="13" t="inlineStr">
        <is>
          <t>商品编码</t>
        </is>
      </c>
      <c r="I1" s="13" t="inlineStr">
        <is>
          <t>商品条码</t>
        </is>
      </c>
      <c r="J1" s="13" t="inlineStr">
        <is>
          <t>商品名称</t>
        </is>
      </c>
      <c r="K1" s="13" t="inlineStr">
        <is>
          <t>规格</t>
        </is>
      </c>
      <c r="L1" s="13" t="inlineStr">
        <is>
          <t>温层</t>
        </is>
      </c>
      <c r="M1" s="13" t="inlineStr">
        <is>
          <t>渠道</t>
        </is>
      </c>
      <c r="N1" s="13" t="inlineStr">
        <is>
          <t>销售数量</t>
        </is>
      </c>
      <c r="O1" s="13" t="inlineStr">
        <is>
          <t>销售金额</t>
        </is>
      </c>
      <c r="P1" s="13" t="inlineStr">
        <is>
          <t>含税口径</t>
        </is>
      </c>
      <c r="Q1" s="13" t="inlineStr">
        <is>
          <t>动销标记</t>
        </is>
      </c>
      <c r="R1" s="13" t="inlineStr">
        <is>
          <t>备注</t>
        </is>
      </c>
    </row>
    <row r="2">
      <c r="A2" s="53" t="n">
        <v>46166</v>
      </c>
      <c r="B2" s="20" t="inlineStr">
        <is>
          <t>大润发</t>
        </is>
      </c>
      <c r="C2" s="20" t="inlineStr">
        <is>
          <t>华东</t>
        </is>
      </c>
      <c r="D2" s="20" t="inlineStr">
        <is>
          <t>上海</t>
        </is>
      </c>
      <c r="E2" s="20" t="inlineStr">
        <is>
          <t>1001</t>
        </is>
      </c>
      <c r="F2" s="20" t="inlineStr">
        <is>
          <t>闸北店</t>
        </is>
      </c>
      <c r="G2" s="20" t="inlineStr">
        <is>
          <t>否</t>
        </is>
      </c>
      <c r="H2" s="20" t="inlineStr">
        <is>
          <t>4354168</t>
        </is>
      </c>
      <c r="I2" s="20" t="inlineStr">
        <is>
          <t>697000000001</t>
        </is>
      </c>
      <c r="J2" s="20" t="inlineStr">
        <is>
          <t>脱骨侠无骨鸡爪(柠檬味)</t>
        </is>
      </c>
      <c r="K2" s="20" t="inlineStr">
        <is>
          <t>158g/袋</t>
        </is>
      </c>
      <c r="L2" s="20" t="inlineStr">
        <is>
          <t>常温</t>
        </is>
      </c>
      <c r="M2" s="20" t="inlineStr">
        <is>
          <t>线下</t>
        </is>
      </c>
      <c r="N2" s="21" t="n">
        <v>210</v>
      </c>
      <c r="O2" s="21" t="n">
        <v>4675</v>
      </c>
      <c r="P2" s="20" t="inlineStr">
        <is>
          <t>含税</t>
        </is>
      </c>
      <c r="Q2" s="20" t="inlineStr">
        <is>
          <t>Y</t>
        </is>
      </c>
      <c r="R2" s="20" t="inlineStr"/>
    </row>
    <row r="3">
      <c r="A3" s="53" t="n">
        <v>46166</v>
      </c>
      <c r="B3" s="20" t="inlineStr">
        <is>
          <t>大润发</t>
        </is>
      </c>
      <c r="C3" s="20" t="inlineStr">
        <is>
          <t>华东</t>
        </is>
      </c>
      <c r="D3" s="20" t="inlineStr">
        <is>
          <t>江苏</t>
        </is>
      </c>
      <c r="E3" s="20" t="inlineStr">
        <is>
          <t>1002</t>
        </is>
      </c>
      <c r="F3" s="20" t="inlineStr">
        <is>
          <t>杨浦店</t>
        </is>
      </c>
      <c r="G3" s="20" t="inlineStr">
        <is>
          <t>否</t>
        </is>
      </c>
      <c r="H3" s="20" t="inlineStr">
        <is>
          <t>4354169</t>
        </is>
      </c>
      <c r="I3" s="20" t="inlineStr">
        <is>
          <t>697000000002</t>
        </is>
      </c>
      <c r="J3" s="20" t="inlineStr">
        <is>
          <t>脱骨侠无骨鸡爪(泡椒味)</t>
        </is>
      </c>
      <c r="K3" s="20" t="inlineStr">
        <is>
          <t>158g/袋</t>
        </is>
      </c>
      <c r="L3" s="20" t="inlineStr">
        <is>
          <t>常温</t>
        </is>
      </c>
      <c r="M3" s="20" t="inlineStr">
        <is>
          <t>京东到家</t>
        </is>
      </c>
      <c r="N3" s="21" t="n">
        <v>86</v>
      </c>
      <c r="O3" s="21" t="n">
        <v>1978</v>
      </c>
      <c r="P3" s="20" t="inlineStr">
        <is>
          <t>含税</t>
        </is>
      </c>
      <c r="Q3" s="20" t="inlineStr">
        <is>
          <t>Y</t>
        </is>
      </c>
      <c r="R3" s="20" t="inlineStr"/>
    </row>
    <row r="4">
      <c r="A4" s="53" t="n">
        <v>46167</v>
      </c>
      <c r="B4" s="20" t="inlineStr">
        <is>
          <t>大润发</t>
        </is>
      </c>
      <c r="C4" s="20" t="inlineStr">
        <is>
          <t>华南</t>
        </is>
      </c>
      <c r="D4" s="20" t="inlineStr">
        <is>
          <t>广东</t>
        </is>
      </c>
      <c r="E4" s="20" t="inlineStr">
        <is>
          <t>5001</t>
        </is>
      </c>
      <c r="F4" s="20" t="inlineStr">
        <is>
          <t>广州天河店</t>
        </is>
      </c>
      <c r="G4" s="20" t="inlineStr">
        <is>
          <t>否</t>
        </is>
      </c>
      <c r="H4" s="20" t="inlineStr">
        <is>
          <t>4502138</t>
        </is>
      </c>
      <c r="I4" s="20" t="inlineStr">
        <is>
          <t>697000000003</t>
        </is>
      </c>
      <c r="J4" s="20" t="inlineStr">
        <is>
          <t>脱骨侠虎皮凤爪(白松露味)</t>
        </is>
      </c>
      <c r="K4" s="20" t="inlineStr">
        <is>
          <t>220g/盒</t>
        </is>
      </c>
      <c r="L4" s="20" t="inlineStr">
        <is>
          <t>冷藏</t>
        </is>
      </c>
      <c r="M4" s="20" t="inlineStr">
        <is>
          <t>美团</t>
        </is>
      </c>
      <c r="N4" s="21" t="n">
        <v>134</v>
      </c>
      <c r="O4" s="21" t="n">
        <v>3350</v>
      </c>
      <c r="P4" s="20" t="inlineStr">
        <is>
          <t>含税</t>
        </is>
      </c>
      <c r="Q4" s="20" t="inlineStr">
        <is>
          <t>Y</t>
        </is>
      </c>
      <c r="R4" s="20" t="inlineStr"/>
    </row>
    <row r="5">
      <c r="A5" s="53" t="n">
        <v>46167</v>
      </c>
      <c r="B5" s="20" t="inlineStr">
        <is>
          <t>沃尔玛</t>
        </is>
      </c>
      <c r="C5" s="20" t="inlineStr">
        <is>
          <t>华南</t>
        </is>
      </c>
      <c r="D5" s="20" t="inlineStr">
        <is>
          <t>广东</t>
        </is>
      </c>
      <c r="E5" s="20" t="inlineStr">
        <is>
          <t>101</t>
        </is>
      </c>
      <c r="F5" s="20" t="inlineStr">
        <is>
          <t>沃尔玛广州天河店</t>
        </is>
      </c>
      <c r="G5" s="20" t="inlineStr">
        <is>
          <t>否</t>
        </is>
      </c>
      <c r="H5" s="20" t="inlineStr">
        <is>
          <t>25354863</t>
        </is>
      </c>
      <c r="I5" s="20" t="inlineStr">
        <is>
          <t>0697765695110</t>
        </is>
      </c>
      <c r="J5" s="20" t="inlineStr">
        <is>
          <t>常温脱骨侠无骨鸡爪柠檬</t>
        </is>
      </c>
      <c r="K5" s="20" t="inlineStr">
        <is>
          <t>158g/袋</t>
        </is>
      </c>
      <c r="L5" s="20" t="inlineStr">
        <is>
          <t>常温</t>
        </is>
      </c>
      <c r="M5" s="20" t="inlineStr">
        <is>
          <t>POS</t>
        </is>
      </c>
      <c r="N5" s="21" t="n">
        <v>190</v>
      </c>
      <c r="O5" s="21" t="n">
        <v>3800</v>
      </c>
      <c r="P5" s="20" t="inlineStr">
        <is>
          <t>未税</t>
        </is>
      </c>
      <c r="Q5" s="20" t="inlineStr">
        <is>
          <t>Y</t>
        </is>
      </c>
      <c r="R5" s="20" t="inlineStr"/>
    </row>
    <row r="6">
      <c r="A6" s="53" t="n">
        <v>46168</v>
      </c>
      <c r="B6" s="20" t="inlineStr">
        <is>
          <t>华润</t>
        </is>
      </c>
      <c r="C6" s="20" t="inlineStr">
        <is>
          <t>华北</t>
        </is>
      </c>
      <c r="D6" s="20" t="inlineStr">
        <is>
          <t>北京</t>
        </is>
      </c>
      <c r="E6" s="20" t="inlineStr">
        <is>
          <t>204392</t>
        </is>
      </c>
      <c r="F6" s="20" t="inlineStr">
        <is>
          <t>皇姑店</t>
        </is>
      </c>
      <c r="G6" s="20" t="inlineStr">
        <is>
          <t>否</t>
        </is>
      </c>
      <c r="H6" s="20" t="inlineStr">
        <is>
          <t>5150673</t>
        </is>
      </c>
      <c r="I6" s="20" t="inlineStr">
        <is>
          <t>6973883075622</t>
        </is>
      </c>
      <c r="J6" s="20" t="inlineStr">
        <is>
          <t>脱骨侠无骨鸡爪(柠檬味)158g</t>
        </is>
      </c>
      <c r="K6" s="20" t="inlineStr">
        <is>
          <t>158g/袋</t>
        </is>
      </c>
      <c r="L6" s="20" t="inlineStr">
        <is>
          <t>常温</t>
        </is>
      </c>
      <c r="M6" s="20" t="inlineStr">
        <is>
          <t>线下</t>
        </is>
      </c>
      <c r="N6" s="21" t="n">
        <v>150</v>
      </c>
      <c r="O6" s="21" t="n">
        <v>2895</v>
      </c>
      <c r="P6" s="20" t="inlineStr">
        <is>
          <t>含税</t>
        </is>
      </c>
      <c r="Q6" s="20" t="inlineStr">
        <is>
          <t>Y</t>
        </is>
      </c>
      <c r="R6" s="20" t="inlineStr"/>
    </row>
    <row r="7">
      <c r="A7" s="53" t="n">
        <v>46168</v>
      </c>
      <c r="B7" s="20" t="inlineStr">
        <is>
          <t>盒马</t>
        </is>
      </c>
      <c r="C7" s="20" t="inlineStr">
        <is>
          <t>华中</t>
        </is>
      </c>
      <c r="D7" s="20" t="inlineStr">
        <is>
          <t>湖北</t>
        </is>
      </c>
      <c r="E7" s="20" t="inlineStr">
        <is>
          <t>HM001</t>
        </is>
      </c>
      <c r="F7" s="20" t="inlineStr">
        <is>
          <t>武汉珞狮路店</t>
        </is>
      </c>
      <c r="G7" s="20" t="inlineStr">
        <is>
          <t>否</t>
        </is>
      </c>
      <c r="H7" s="20" t="inlineStr">
        <is>
          <t>431448153</t>
        </is>
      </c>
      <c r="I7" s="20" t="inlineStr">
        <is>
          <t>6973883075387</t>
        </is>
      </c>
      <c r="J7" s="20" t="inlineStr">
        <is>
          <t>盒马工坊 蒜香无骨鸡爪 230g</t>
        </is>
      </c>
      <c r="K7" s="20" t="inlineStr">
        <is>
          <t>230g/盒</t>
        </is>
      </c>
      <c r="L7" s="20" t="inlineStr">
        <is>
          <t>冷藏</t>
        </is>
      </c>
      <c r="M7" s="20" t="inlineStr">
        <is>
          <t>POS</t>
        </is>
      </c>
      <c r="N7" s="21" t="n">
        <v>980</v>
      </c>
      <c r="O7" s="21" t="n">
        <v>12740</v>
      </c>
      <c r="P7" s="20" t="inlineStr">
        <is>
          <t>含税</t>
        </is>
      </c>
      <c r="Q7" s="20" t="inlineStr">
        <is>
          <t>Y</t>
        </is>
      </c>
      <c r="R7" s="20" t="inlineStr"/>
    </row>
    <row r="8">
      <c r="A8" s="53" t="n">
        <v>46169</v>
      </c>
      <c r="B8" s="20" t="inlineStr">
        <is>
          <t>永辉</t>
        </is>
      </c>
      <c r="C8" s="20" t="inlineStr">
        <is>
          <t>华东</t>
        </is>
      </c>
      <c r="D8" s="20" t="inlineStr">
        <is>
          <t>浙江</t>
        </is>
      </c>
      <c r="E8" s="20" t="inlineStr">
        <is>
          <t>9626</t>
        </is>
      </c>
      <c r="F8" s="20" t="inlineStr">
        <is>
          <t>滨江区龙湖天街店</t>
        </is>
      </c>
      <c r="G8" s="20" t="inlineStr">
        <is>
          <t>否</t>
        </is>
      </c>
      <c r="H8" s="20" t="inlineStr">
        <is>
          <t>1830795</t>
        </is>
      </c>
      <c r="I8" s="20" t="inlineStr">
        <is>
          <t>6973883073277</t>
        </is>
      </c>
      <c r="J8" s="20" t="inlineStr">
        <is>
          <t>脱骨侠蒜香酸甜辣无骨鸡爪780g</t>
        </is>
      </c>
      <c r="K8" s="20" t="inlineStr">
        <is>
          <t>780g/罐</t>
        </is>
      </c>
      <c r="L8" s="20" t="inlineStr">
        <is>
          <t>冷藏</t>
        </is>
      </c>
      <c r="M8" s="20" t="inlineStr">
        <is>
          <t>POS</t>
        </is>
      </c>
      <c r="N8" s="21" t="n">
        <v>52</v>
      </c>
      <c r="O8" s="21" t="n">
        <v>2225</v>
      </c>
      <c r="P8" s="20" t="inlineStr">
        <is>
          <t>含税</t>
        </is>
      </c>
      <c r="Q8" s="20" t="inlineStr">
        <is>
          <t>Y</t>
        </is>
      </c>
      <c r="R8" s="20" t="inlineStr"/>
    </row>
    <row r="9">
      <c r="A9" s="53" t="n">
        <v>46169</v>
      </c>
      <c r="B9" s="20" t="inlineStr">
        <is>
          <t>天虹</t>
        </is>
      </c>
      <c r="C9" s="20" t="inlineStr">
        <is>
          <t>华南</t>
        </is>
      </c>
      <c r="D9" s="20" t="inlineStr">
        <is>
          <t>广东</t>
        </is>
      </c>
      <c r="E9" s="20" t="inlineStr">
        <is>
          <t>104</t>
        </is>
      </c>
      <c r="F9" s="20" t="inlineStr">
        <is>
          <t>深圳创业天虹</t>
        </is>
      </c>
      <c r="G9" s="20" t="inlineStr">
        <is>
          <t>否</t>
        </is>
      </c>
      <c r="H9" s="20" t="inlineStr">
        <is>
          <t>v000110869</t>
        </is>
      </c>
      <c r="I9" s="20" t="inlineStr">
        <is>
          <t>6977656954114</t>
        </is>
      </c>
      <c r="J9" s="20" t="inlineStr">
        <is>
          <t>脱骨侠双椒无骨鸭掌</t>
        </is>
      </c>
      <c r="K9" s="20" t="inlineStr">
        <is>
          <t>320g/袋</t>
        </is>
      </c>
      <c r="L9" s="20" t="inlineStr">
        <is>
          <t>冷藏</t>
        </is>
      </c>
      <c r="M9" s="20" t="inlineStr">
        <is>
          <t>天虹到家</t>
        </is>
      </c>
      <c r="N9" s="21" t="n">
        <v>72</v>
      </c>
      <c r="O9" s="21" t="n">
        <v>2729</v>
      </c>
      <c r="P9" s="20" t="inlineStr">
        <is>
          <t>含税</t>
        </is>
      </c>
      <c r="Q9" s="20" t="inlineStr">
        <is>
          <t>Y</t>
        </is>
      </c>
      <c r="R9" s="20" t="inlineStr"/>
    </row>
    <row r="10">
      <c r="A10" s="53" t="n">
        <v>46170</v>
      </c>
      <c r="B10" s="20" t="inlineStr">
        <is>
          <t>比优特</t>
        </is>
      </c>
      <c r="C10" s="20" t="inlineStr">
        <is>
          <t>东北</t>
        </is>
      </c>
      <c r="D10" s="20" t="inlineStr">
        <is>
          <t>黑龙江</t>
        </is>
      </c>
      <c r="E10" s="20" t="inlineStr">
        <is>
          <t>2201</t>
        </is>
      </c>
      <c r="F10" s="20" t="inlineStr">
        <is>
          <t>麓林山店</t>
        </is>
      </c>
      <c r="G10" s="20" t="inlineStr">
        <is>
          <t>否</t>
        </is>
      </c>
      <c r="H10" s="20" t="inlineStr">
        <is>
          <t>1156752</t>
        </is>
      </c>
      <c r="I10" s="20" t="inlineStr">
        <is>
          <t>6973883073277</t>
        </is>
      </c>
      <c r="J10" s="20" t="inlineStr">
        <is>
          <t>脱骨侠无骨鸡爪蒜香酸甜辣780g</t>
        </is>
      </c>
      <c r="K10" s="20" t="inlineStr">
        <is>
          <t>780g/罐</t>
        </is>
      </c>
      <c r="L10" s="20" t="inlineStr">
        <is>
          <t>冷藏</t>
        </is>
      </c>
      <c r="M10" s="20" t="inlineStr">
        <is>
          <t>POS</t>
        </is>
      </c>
      <c r="N10" s="21" t="n">
        <v>18</v>
      </c>
      <c r="O10" s="21" t="n">
        <v>629</v>
      </c>
      <c r="P10" s="20" t="inlineStr">
        <is>
          <t>含税</t>
        </is>
      </c>
      <c r="Q10" s="20" t="inlineStr">
        <is>
          <t>Y</t>
        </is>
      </c>
      <c r="R10" s="20" t="inlineStr"/>
    </row>
    <row r="11">
      <c r="A11" s="53" t="n">
        <v>46170</v>
      </c>
      <c r="B11" s="20" t="inlineStr">
        <is>
          <t>家得福</t>
        </is>
      </c>
      <c r="C11" s="20" t="inlineStr">
        <is>
          <t>华东</t>
        </is>
      </c>
      <c r="D11" s="20" t="inlineStr">
        <is>
          <t>江苏</t>
        </is>
      </c>
      <c r="E11" s="20" t="inlineStr">
        <is>
          <t>1001</t>
        </is>
      </c>
      <c r="F11" s="20" t="inlineStr">
        <is>
          <t>家得福海棠店</t>
        </is>
      </c>
      <c r="G11" s="20" t="inlineStr">
        <is>
          <t>否</t>
        </is>
      </c>
      <c r="H11" s="20" t="inlineStr">
        <is>
          <t>10081319</t>
        </is>
      </c>
      <c r="I11" s="20" t="inlineStr">
        <is>
          <t>6973883073284</t>
        </is>
      </c>
      <c r="J11" s="20" t="inlineStr">
        <is>
          <t>脱骨侠酸辣柠檬无骨鸡爪780g</t>
        </is>
      </c>
      <c r="K11" s="20" t="inlineStr">
        <is>
          <t>780g/罐</t>
        </is>
      </c>
      <c r="L11" s="20" t="inlineStr">
        <is>
          <t>冷藏</t>
        </is>
      </c>
      <c r="M11" s="20" t="inlineStr">
        <is>
          <t>POS</t>
        </is>
      </c>
      <c r="N11" s="21" t="n">
        <v>35</v>
      </c>
      <c r="O11" s="21" t="n">
        <v>1033</v>
      </c>
      <c r="P11" s="20" t="inlineStr">
        <is>
          <t>含税</t>
        </is>
      </c>
      <c r="Q11" s="20" t="inlineStr">
        <is>
          <t>Y</t>
        </is>
      </c>
      <c r="R11" s="20" t="inlineStr"/>
    </row>
    <row r="12">
      <c r="A12" s="53" t="n">
        <v>46171</v>
      </c>
      <c r="B12" s="20" t="inlineStr">
        <is>
          <t>大润发</t>
        </is>
      </c>
      <c r="C12" s="20" t="inlineStr">
        <is>
          <t>华北</t>
        </is>
      </c>
      <c r="D12" s="20" t="inlineStr">
        <is>
          <t>天津</t>
        </is>
      </c>
      <c r="E12" s="20" t="inlineStr">
        <is>
          <t>6001</t>
        </is>
      </c>
      <c r="F12" s="20" t="inlineStr">
        <is>
          <t>天津南开店</t>
        </is>
      </c>
      <c r="G12" s="20" t="inlineStr">
        <is>
          <t>否</t>
        </is>
      </c>
      <c r="H12" s="20" t="inlineStr">
        <is>
          <t>4354172</t>
        </is>
      </c>
      <c r="I12" s="20" t="inlineStr">
        <is>
          <t>697000000004</t>
        </is>
      </c>
      <c r="J12" s="20" t="inlineStr">
        <is>
          <t>脱骨侠盐焗鸡爪</t>
        </is>
      </c>
      <c r="K12" s="20" t="inlineStr">
        <is>
          <t>138g/袋</t>
        </is>
      </c>
      <c r="L12" s="20" t="inlineStr">
        <is>
          <t>常温</t>
        </is>
      </c>
      <c r="M12" s="20" t="inlineStr">
        <is>
          <t>线下</t>
        </is>
      </c>
      <c r="N12" s="21" t="n">
        <v>98</v>
      </c>
      <c r="O12" s="21" t="n">
        <v>1421</v>
      </c>
      <c r="P12" s="20" t="inlineStr">
        <is>
          <t>含税</t>
        </is>
      </c>
      <c r="Q12" s="20" t="inlineStr">
        <is>
          <t>Y</t>
        </is>
      </c>
      <c r="R12" s="20" t="inlineStr"/>
    </row>
    <row r="13">
      <c r="A13" s="53" t="n">
        <v>46171</v>
      </c>
      <c r="B13" s="20" t="inlineStr">
        <is>
          <t>沃尔玛</t>
        </is>
      </c>
      <c r="C13" s="20" t="inlineStr">
        <is>
          <t>华东</t>
        </is>
      </c>
      <c r="D13" s="20" t="inlineStr">
        <is>
          <t>浙江</t>
        </is>
      </c>
      <c r="E13" s="20" t="inlineStr">
        <is>
          <t>2470</t>
        </is>
      </c>
      <c r="F13" s="20" t="inlineStr">
        <is>
          <t>沃尔玛赤峰玉龙大街店</t>
        </is>
      </c>
      <c r="G13" s="20" t="inlineStr">
        <is>
          <t>否</t>
        </is>
      </c>
      <c r="H13" s="20" t="inlineStr">
        <is>
          <t>25325573</t>
        </is>
      </c>
      <c r="I13" s="20" t="inlineStr">
        <is>
          <t>0697388307468</t>
        </is>
      </c>
      <c r="J13" s="20" t="inlineStr">
        <is>
          <t>冷藏蒜香凤爪</t>
        </is>
      </c>
      <c r="K13" s="20" t="inlineStr">
        <is>
          <t>230g/盒</t>
        </is>
      </c>
      <c r="L13" s="20" t="inlineStr">
        <is>
          <t>冷藏</t>
        </is>
      </c>
      <c r="M13" s="20" t="inlineStr">
        <is>
          <t>POS</t>
        </is>
      </c>
      <c r="N13" s="21" t="n">
        <v>79</v>
      </c>
      <c r="O13" s="21" t="n">
        <v>2500</v>
      </c>
      <c r="P13" s="20" t="inlineStr">
        <is>
          <t>未税</t>
        </is>
      </c>
      <c r="Q13" s="20" t="inlineStr">
        <is>
          <t>Y</t>
        </is>
      </c>
      <c r="R13" s="20" t="inlineStr"/>
    </row>
    <row r="14">
      <c r="A14" s="53" t="n">
        <v>46172</v>
      </c>
      <c r="B14" s="20" t="inlineStr">
        <is>
          <t>大润发</t>
        </is>
      </c>
      <c r="C14" s="20" t="inlineStr">
        <is>
          <t>华东</t>
        </is>
      </c>
      <c r="D14" s="20" t="inlineStr">
        <is>
          <t>上海</t>
        </is>
      </c>
      <c r="E14" s="20" t="inlineStr">
        <is>
          <t>1001</t>
        </is>
      </c>
      <c r="F14" s="20" t="inlineStr">
        <is>
          <t>闸北店</t>
        </is>
      </c>
      <c r="G14" s="20" t="inlineStr">
        <is>
          <t>否</t>
        </is>
      </c>
      <c r="H14" s="20" t="inlineStr">
        <is>
          <t>4354168</t>
        </is>
      </c>
      <c r="I14" s="20" t="inlineStr">
        <is>
          <t>697000000001</t>
        </is>
      </c>
      <c r="J14" s="20" t="inlineStr">
        <is>
          <t>脱骨侠无骨鸡爪(柠檬味)</t>
        </is>
      </c>
      <c r="K14" s="20" t="inlineStr">
        <is>
          <t>158g/袋</t>
        </is>
      </c>
      <c r="L14" s="20" t="inlineStr">
        <is>
          <t>常温</t>
        </is>
      </c>
      <c r="M14" s="20" t="inlineStr">
        <is>
          <t>线下</t>
        </is>
      </c>
      <c r="N14" s="21" t="n">
        <v>235</v>
      </c>
      <c r="O14" s="21" t="n">
        <v>5235</v>
      </c>
      <c r="P14" s="20" t="inlineStr">
        <is>
          <t>含税</t>
        </is>
      </c>
      <c r="Q14" s="20" t="inlineStr">
        <is>
          <t>Y</t>
        </is>
      </c>
      <c r="R14" s="20" t="inlineStr"/>
    </row>
    <row r="15">
      <c r="A15" s="53" t="n">
        <v>46172</v>
      </c>
      <c r="B15" s="20" t="inlineStr">
        <is>
          <t>盒马</t>
        </is>
      </c>
      <c r="C15" s="20" t="inlineStr">
        <is>
          <t>华中</t>
        </is>
      </c>
      <c r="D15" s="20" t="inlineStr">
        <is>
          <t>湖北</t>
        </is>
      </c>
      <c r="E15" s="20" t="inlineStr">
        <is>
          <t>HM001</t>
        </is>
      </c>
      <c r="F15" s="20" t="inlineStr">
        <is>
          <t>武汉珞狮路店</t>
        </is>
      </c>
      <c r="G15" s="20" t="inlineStr">
        <is>
          <t>否</t>
        </is>
      </c>
      <c r="H15" s="20" t="inlineStr">
        <is>
          <t>431448153</t>
        </is>
      </c>
      <c r="I15" s="20" t="inlineStr">
        <is>
          <t>6973883075387</t>
        </is>
      </c>
      <c r="J15" s="20" t="inlineStr">
        <is>
          <t>盒马工坊 蒜香无骨鸡爪 230g</t>
        </is>
      </c>
      <c r="K15" s="20" t="inlineStr">
        <is>
          <t>230g/盒</t>
        </is>
      </c>
      <c r="L15" s="20" t="inlineStr">
        <is>
          <t>冷藏</t>
        </is>
      </c>
      <c r="M15" s="20" t="inlineStr">
        <is>
          <t>POS</t>
        </is>
      </c>
      <c r="N15" s="21" t="n">
        <v>1100</v>
      </c>
      <c r="O15" s="21" t="n">
        <v>14300</v>
      </c>
      <c r="P15" s="20" t="inlineStr">
        <is>
          <t>含税</t>
        </is>
      </c>
      <c r="Q15" s="20" t="inlineStr">
        <is>
          <t>Y</t>
        </is>
      </c>
      <c r="R15" s="20" t="inlineStr"/>
    </row>
    <row r="16">
      <c r="A16" s="53" t="n">
        <v>46172</v>
      </c>
      <c r="B16" s="20" t="inlineStr">
        <is>
          <t>天虹</t>
        </is>
      </c>
      <c r="C16" s="20" t="inlineStr">
        <is>
          <t>华南</t>
        </is>
      </c>
      <c r="D16" s="20" t="inlineStr">
        <is>
          <t>广东</t>
        </is>
      </c>
      <c r="E16" s="20" t="inlineStr">
        <is>
          <t>104</t>
        </is>
      </c>
      <c r="F16" s="20" t="inlineStr">
        <is>
          <t>深圳创业天虹</t>
        </is>
      </c>
      <c r="G16" s="20" t="inlineStr">
        <is>
          <t>否</t>
        </is>
      </c>
      <c r="H16" s="20" t="inlineStr">
        <is>
          <t>v000110869</t>
        </is>
      </c>
      <c r="I16" s="20" t="inlineStr">
        <is>
          <t>6977656954114</t>
        </is>
      </c>
      <c r="J16" s="20" t="inlineStr">
        <is>
          <t>脱骨侠双椒无骨鸭掌</t>
        </is>
      </c>
      <c r="K16" s="20" t="inlineStr">
        <is>
          <t>320g/袋</t>
        </is>
      </c>
      <c r="L16" s="20" t="inlineStr">
        <is>
          <t>冷藏</t>
        </is>
      </c>
      <c r="M16" s="20" t="inlineStr">
        <is>
          <t>京东到家</t>
        </is>
      </c>
      <c r="N16" s="21" t="n">
        <v>88</v>
      </c>
      <c r="O16" s="21" t="n">
        <v>3335</v>
      </c>
      <c r="P16" s="20" t="inlineStr">
        <is>
          <t>含税</t>
        </is>
      </c>
      <c r="Q16" s="20" t="inlineStr">
        <is>
          <t>Y</t>
        </is>
      </c>
      <c r="R16" s="20" t="inlineStr"/>
    </row>
  </sheetData>
  <dataValidations count="4">
    <dataValidation sqref="B2:B500" showDropDown="0" showInputMessage="0" showErrorMessage="0" allowBlank="1" type="list">
      <formula1>"大润发,盒马,华润,沃尔玛,永辉,天虹,比优特,家得福"</formula1>
    </dataValidation>
    <dataValidation sqref="C2:C500" showDropDown="0" showInputMessage="0" showErrorMessage="0" allowBlank="1" type="list">
      <formula1>"华东,华南,华北,华中,西北,东北"</formula1>
    </dataValidation>
    <dataValidation sqref="G2:G500" showDropDown="0" showInputMessage="0" showErrorMessage="0" allowBlank="1" type="list">
      <formula1>"是,否"</formula1>
    </dataValidation>
    <dataValidation sqref="Q2:Q500" showDropDown="0" showInputMessage="0" showErrorMessage="0" allowBlank="1" type="list">
      <formula1>"Y,N"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24" customWidth="1" min="6" max="6"/>
    <col width="9" customWidth="1" min="7" max="7"/>
    <col width="14" customWidth="1" min="8" max="8"/>
    <col width="3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20" customWidth="1" min="16" max="16"/>
  </cols>
  <sheetData>
    <row r="1">
      <c r="A1" s="13" t="inlineStr">
        <is>
          <t>数据日期</t>
        </is>
      </c>
      <c r="B1" s="13" t="inlineStr">
        <is>
          <t>KA系统</t>
        </is>
      </c>
      <c r="C1" s="13" t="inlineStr">
        <is>
          <t>大区</t>
        </is>
      </c>
      <c r="D1" s="13" t="inlineStr">
        <is>
          <t>省份</t>
        </is>
      </c>
      <c r="E1" s="13" t="inlineStr">
        <is>
          <t>门店编码</t>
        </is>
      </c>
      <c r="F1" s="13" t="inlineStr">
        <is>
          <t>门店名称</t>
        </is>
      </c>
      <c r="G1" s="13" t="inlineStr">
        <is>
          <t>是否DC</t>
        </is>
      </c>
      <c r="H1" s="13" t="inlineStr">
        <is>
          <t>商品编码</t>
        </is>
      </c>
      <c r="I1" s="13" t="inlineStr">
        <is>
          <t>商品名称</t>
        </is>
      </c>
      <c r="J1" s="13" t="inlineStr">
        <is>
          <t>门店库存</t>
        </is>
      </c>
      <c r="K1" s="13" t="inlineStr">
        <is>
          <t>DC库存</t>
        </is>
      </c>
      <c r="L1" s="13" t="inlineStr">
        <is>
          <t>在途/待收</t>
        </is>
      </c>
      <c r="M1" s="13" t="inlineStr">
        <is>
          <t>近7日平均销量</t>
        </is>
      </c>
      <c r="N1" s="13" t="inlineStr">
        <is>
          <t>周转天数</t>
        </is>
      </c>
      <c r="O1" s="13" t="inlineStr">
        <is>
          <t>是否超60天</t>
        </is>
      </c>
      <c r="P1" s="13" t="inlineStr">
        <is>
          <t>备注</t>
        </is>
      </c>
    </row>
    <row r="2">
      <c r="A2" s="53" t="n">
        <v>46172</v>
      </c>
      <c r="B2" s="20" t="inlineStr">
        <is>
          <t>大润发</t>
        </is>
      </c>
      <c r="C2" s="20" t="inlineStr">
        <is>
          <t>华东</t>
        </is>
      </c>
      <c r="D2" s="20" t="inlineStr">
        <is>
          <t>上海</t>
        </is>
      </c>
      <c r="E2" s="20" t="inlineStr">
        <is>
          <t>1001</t>
        </is>
      </c>
      <c r="F2" s="20" t="inlineStr">
        <is>
          <t>闸北店</t>
        </is>
      </c>
      <c r="G2" s="20" t="inlineStr">
        <is>
          <t>否</t>
        </is>
      </c>
      <c r="H2" s="20" t="inlineStr">
        <is>
          <t>4354168</t>
        </is>
      </c>
      <c r="I2" s="20" t="inlineStr">
        <is>
          <t>脱骨侠无骨鸡爪(柠檬味)</t>
        </is>
      </c>
      <c r="J2" s="54" t="n">
        <v>15089</v>
      </c>
      <c r="K2" s="54" t="n">
        <v>1950</v>
      </c>
      <c r="L2" s="54" t="n">
        <v>725</v>
      </c>
      <c r="M2" s="54" t="n">
        <v>620</v>
      </c>
      <c r="N2" s="54">
        <f>IFERROR(J2/M2,"")</f>
        <v/>
      </c>
      <c r="O2" s="20">
        <f>IF(N2="","",IF(N2&gt;60,"Y","N"))</f>
        <v/>
      </c>
      <c r="P2" s="20" t="inlineStr"/>
    </row>
    <row r="3">
      <c r="A3" s="53" t="n">
        <v>46172</v>
      </c>
      <c r="B3" s="20" t="inlineStr">
        <is>
          <t>大润发</t>
        </is>
      </c>
      <c r="C3" s="20" t="inlineStr">
        <is>
          <t>华南</t>
        </is>
      </c>
      <c r="D3" s="20" t="inlineStr">
        <is>
          <t>广东</t>
        </is>
      </c>
      <c r="E3" s="20" t="inlineStr">
        <is>
          <t>5001</t>
        </is>
      </c>
      <c r="F3" s="20" t="inlineStr">
        <is>
          <t>广州天河店</t>
        </is>
      </c>
      <c r="G3" s="20" t="inlineStr">
        <is>
          <t>否</t>
        </is>
      </c>
      <c r="H3" s="20" t="inlineStr">
        <is>
          <t>4502138</t>
        </is>
      </c>
      <c r="I3" s="20" t="inlineStr">
        <is>
          <t>脱骨侠虎皮凤爪(白松露味)</t>
        </is>
      </c>
      <c r="J3" s="54" t="n">
        <v>13619</v>
      </c>
      <c r="K3" s="54" t="n">
        <v>1250</v>
      </c>
      <c r="L3" s="54" t="n">
        <v>550</v>
      </c>
      <c r="M3" s="54" t="n">
        <v>210</v>
      </c>
      <c r="N3" s="54">
        <f>IFERROR(J3/M3,"")</f>
        <v/>
      </c>
      <c r="O3" s="20">
        <f>IF(N3="","",IF(N3&gt;60,"Y","N"))</f>
        <v/>
      </c>
      <c r="P3" s="20" t="inlineStr"/>
    </row>
    <row r="4">
      <c r="A4" s="53" t="n">
        <v>46172</v>
      </c>
      <c r="B4" s="20" t="inlineStr">
        <is>
          <t>沃尔玛</t>
        </is>
      </c>
      <c r="C4" s="20" t="inlineStr">
        <is>
          <t>华南</t>
        </is>
      </c>
      <c r="D4" s="20" t="inlineStr">
        <is>
          <t>广东</t>
        </is>
      </c>
      <c r="E4" s="20" t="inlineStr">
        <is>
          <t>101</t>
        </is>
      </c>
      <c r="F4" s="20" t="inlineStr">
        <is>
          <t>沃尔玛广州天河店</t>
        </is>
      </c>
      <c r="G4" s="20" t="inlineStr">
        <is>
          <t>否</t>
        </is>
      </c>
      <c r="H4" s="20" t="inlineStr">
        <is>
          <t>25354863</t>
        </is>
      </c>
      <c r="I4" s="20" t="inlineStr">
        <is>
          <t>常温脱骨侠无骨鸡爪柠檬</t>
        </is>
      </c>
      <c r="J4" s="54" t="n">
        <v>30943</v>
      </c>
      <c r="K4" s="54" t="n">
        <v>0</v>
      </c>
      <c r="L4" s="54" t="n">
        <v>840</v>
      </c>
      <c r="M4" s="54" t="n">
        <v>1408</v>
      </c>
      <c r="N4" s="54">
        <f>IFERROR(J4/M4,"")</f>
        <v/>
      </c>
      <c r="O4" s="20">
        <f>IF(N4="","",IF(N4&gt;60,"Y","N"))</f>
        <v/>
      </c>
      <c r="P4" s="20" t="inlineStr"/>
    </row>
    <row r="5">
      <c r="A5" s="53" t="n">
        <v>46172</v>
      </c>
      <c r="B5" s="20" t="inlineStr">
        <is>
          <t>华润</t>
        </is>
      </c>
      <c r="C5" s="20" t="inlineStr">
        <is>
          <t>华北</t>
        </is>
      </c>
      <c r="D5" s="20" t="inlineStr">
        <is>
          <t>北京</t>
        </is>
      </c>
      <c r="E5" s="20" t="inlineStr">
        <is>
          <t>204392</t>
        </is>
      </c>
      <c r="F5" s="20" t="inlineStr">
        <is>
          <t>皇姑店</t>
        </is>
      </c>
      <c r="G5" s="20" t="inlineStr">
        <is>
          <t>否</t>
        </is>
      </c>
      <c r="H5" s="20" t="inlineStr">
        <is>
          <t>5150673</t>
        </is>
      </c>
      <c r="I5" s="20" t="inlineStr">
        <is>
          <t>脱骨侠无骨鸡爪(柠檬味)158g</t>
        </is>
      </c>
      <c r="J5" s="54" t="n">
        <v>5233</v>
      </c>
      <c r="K5" s="54" t="n">
        <v>0</v>
      </c>
      <c r="L5" s="54" t="n">
        <v>0</v>
      </c>
      <c r="M5" s="54" t="n">
        <v>245</v>
      </c>
      <c r="N5" s="54">
        <f>IFERROR(J5/M5,"")</f>
        <v/>
      </c>
      <c r="O5" s="20">
        <f>IF(N5="","",IF(N5&gt;60,"Y","N"))</f>
        <v/>
      </c>
      <c r="P5" s="20" t="inlineStr"/>
    </row>
    <row r="6">
      <c r="A6" s="53" t="n">
        <v>46172</v>
      </c>
      <c r="B6" s="20" t="inlineStr">
        <is>
          <t>盒马</t>
        </is>
      </c>
      <c r="C6" s="20" t="inlineStr">
        <is>
          <t>华中</t>
        </is>
      </c>
      <c r="D6" s="20" t="inlineStr">
        <is>
          <t>湖北</t>
        </is>
      </c>
      <c r="E6" s="20" t="inlineStr">
        <is>
          <t>HM001</t>
        </is>
      </c>
      <c r="F6" s="20" t="inlineStr">
        <is>
          <t>武汉珞狮路店</t>
        </is>
      </c>
      <c r="G6" s="20" t="inlineStr">
        <is>
          <t>否</t>
        </is>
      </c>
      <c r="H6" s="20" t="inlineStr">
        <is>
          <t>431448153</t>
        </is>
      </c>
      <c r="I6" s="20" t="inlineStr">
        <is>
          <t>盒马工坊 蒜香无骨鸡爪 230g</t>
        </is>
      </c>
      <c r="J6" s="54" t="n">
        <v>94942</v>
      </c>
      <c r="K6" s="54" t="n">
        <v>0</v>
      </c>
      <c r="L6" s="54" t="n">
        <v>21250</v>
      </c>
      <c r="M6" s="54" t="n">
        <v>20146</v>
      </c>
      <c r="N6" s="54">
        <f>IFERROR(J6/M6,"")</f>
        <v/>
      </c>
      <c r="O6" s="20">
        <f>IF(N6="","",IF(N6&gt;60,"Y","N"))</f>
        <v/>
      </c>
      <c r="P6" s="20" t="inlineStr"/>
    </row>
    <row r="7">
      <c r="A7" s="53" t="n">
        <v>46172</v>
      </c>
      <c r="B7" s="20" t="inlineStr">
        <is>
          <t>永辉</t>
        </is>
      </c>
      <c r="C7" s="20" t="inlineStr">
        <is>
          <t>华东</t>
        </is>
      </c>
      <c r="D7" s="20" t="inlineStr">
        <is>
          <t>浙江</t>
        </is>
      </c>
      <c r="E7" s="20" t="inlineStr">
        <is>
          <t>9626</t>
        </is>
      </c>
      <c r="F7" s="20" t="inlineStr">
        <is>
          <t>滨江区龙湖天街店</t>
        </is>
      </c>
      <c r="G7" s="20" t="inlineStr">
        <is>
          <t>否</t>
        </is>
      </c>
      <c r="H7" s="20" t="inlineStr">
        <is>
          <t>1830795</t>
        </is>
      </c>
      <c r="I7" s="20" t="inlineStr">
        <is>
          <t>脱骨侠蒜香酸甜辣无骨鸡爪780g</t>
        </is>
      </c>
      <c r="J7" s="54" t="n">
        <v>74</v>
      </c>
      <c r="K7" s="54" t="n">
        <v>0</v>
      </c>
      <c r="L7" s="54" t="n">
        <v>0</v>
      </c>
      <c r="M7" s="54" t="n">
        <v>7</v>
      </c>
      <c r="N7" s="54">
        <f>IFERROR(J7/M7,"")</f>
        <v/>
      </c>
      <c r="O7" s="20">
        <f>IF(N7="","",IF(N7&gt;60,"Y","N"))</f>
        <v/>
      </c>
      <c r="P7" s="20" t="inlineStr"/>
    </row>
    <row r="8">
      <c r="A8" s="53" t="n">
        <v>46172</v>
      </c>
      <c r="B8" s="20" t="inlineStr">
        <is>
          <t>天虹</t>
        </is>
      </c>
      <c r="C8" s="20" t="inlineStr">
        <is>
          <t>华南</t>
        </is>
      </c>
      <c r="D8" s="20" t="inlineStr">
        <is>
          <t>广东</t>
        </is>
      </c>
      <c r="E8" s="20" t="inlineStr">
        <is>
          <t>104</t>
        </is>
      </c>
      <c r="F8" s="20" t="inlineStr">
        <is>
          <t>深圳创业天虹</t>
        </is>
      </c>
      <c r="G8" s="20" t="inlineStr">
        <is>
          <t>否</t>
        </is>
      </c>
      <c r="H8" s="20" t="inlineStr">
        <is>
          <t>v000110869</t>
        </is>
      </c>
      <c r="I8" s="20" t="inlineStr">
        <is>
          <t>脱骨侠双椒无骨鸭掌</t>
        </is>
      </c>
      <c r="J8" s="54" t="n">
        <v>5444</v>
      </c>
      <c r="K8" s="54" t="n">
        <v>0</v>
      </c>
      <c r="L8" s="54" t="n">
        <v>0</v>
      </c>
      <c r="M8" s="54" t="n">
        <v>129</v>
      </c>
      <c r="N8" s="54">
        <f>IFERROR(J8/M8,"")</f>
        <v/>
      </c>
      <c r="O8" s="20">
        <f>IF(N8="","",IF(N8&gt;60,"Y","N"))</f>
        <v/>
      </c>
      <c r="P8" s="20" t="inlineStr"/>
    </row>
    <row r="9">
      <c r="A9" s="53" t="n">
        <v>46172</v>
      </c>
      <c r="B9" s="20" t="inlineStr">
        <is>
          <t>比优特</t>
        </is>
      </c>
      <c r="C9" s="20" t="inlineStr">
        <is>
          <t>东北</t>
        </is>
      </c>
      <c r="D9" s="20" t="inlineStr">
        <is>
          <t>黑龙江</t>
        </is>
      </c>
      <c r="E9" s="20" t="inlineStr">
        <is>
          <t>2201</t>
        </is>
      </c>
      <c r="F9" s="20" t="inlineStr">
        <is>
          <t>麓林山店</t>
        </is>
      </c>
      <c r="G9" s="20" t="inlineStr">
        <is>
          <t>否</t>
        </is>
      </c>
      <c r="H9" s="20" t="inlineStr">
        <is>
          <t>1156752</t>
        </is>
      </c>
      <c r="I9" s="20" t="inlineStr">
        <is>
          <t>脱骨侠无骨鸡爪蒜香酸甜辣780g</t>
        </is>
      </c>
      <c r="J9" s="54" t="n">
        <v>15925</v>
      </c>
      <c r="K9" s="54" t="n">
        <v>0</v>
      </c>
      <c r="L9" s="54" t="n">
        <v>0</v>
      </c>
      <c r="M9" s="54" t="n">
        <v>31</v>
      </c>
      <c r="N9" s="54">
        <f>IFERROR(J9/M9,"")</f>
        <v/>
      </c>
      <c r="O9" s="20">
        <f>IF(N9="","",IF(N9&gt;60,"Y","N"))</f>
        <v/>
      </c>
      <c r="P9" s="20" t="inlineStr"/>
    </row>
    <row r="10">
      <c r="A10" s="53" t="n">
        <v>46172</v>
      </c>
      <c r="B10" s="20" t="inlineStr">
        <is>
          <t>家得福</t>
        </is>
      </c>
      <c r="C10" s="20" t="inlineStr">
        <is>
          <t>华东</t>
        </is>
      </c>
      <c r="D10" s="20" t="inlineStr">
        <is>
          <t>江苏</t>
        </is>
      </c>
      <c r="E10" s="20" t="inlineStr">
        <is>
          <t>1001</t>
        </is>
      </c>
      <c r="F10" s="20" t="inlineStr">
        <is>
          <t>家得福海棠店</t>
        </is>
      </c>
      <c r="G10" s="20" t="inlineStr">
        <is>
          <t>否</t>
        </is>
      </c>
      <c r="H10" s="20" t="inlineStr">
        <is>
          <t>10081319</t>
        </is>
      </c>
      <c r="I10" s="20" t="inlineStr">
        <is>
          <t>脱骨侠酸辣柠檬无骨鸡爪780g</t>
        </is>
      </c>
      <c r="J10" s="54" t="n">
        <v>315</v>
      </c>
      <c r="K10" s="54" t="n">
        <v>0</v>
      </c>
      <c r="L10" s="54" t="n">
        <v>0</v>
      </c>
      <c r="M10" s="54" t="n">
        <v>6</v>
      </c>
      <c r="N10" s="54">
        <f>IFERROR(J10/M10,"")</f>
        <v/>
      </c>
      <c r="O10" s="20">
        <f>IF(N10="","",IF(N10&gt;60,"Y","N"))</f>
        <v/>
      </c>
      <c r="P10" s="20" t="inlineStr"/>
    </row>
  </sheetData>
  <conditionalFormatting sqref="N2:N10">
    <cfRule type="cellIs" priority="1" operator="greaterThan" dxfId="0">
      <formula>60</formula>
    </cfRule>
  </conditionalFormatting>
  <dataValidations count="3">
    <dataValidation sqref="B2:B500" showDropDown="0" showInputMessage="0" showErrorMessage="0" allowBlank="1" type="list">
      <formula1>"大润发,盒马,华润,沃尔玛,永辉,天虹,比优特,家得福"</formula1>
    </dataValidation>
    <dataValidation sqref="C2:C500" showDropDown="0" showInputMessage="0" showErrorMessage="0" allowBlank="1" type="list">
      <formula1>"华东,华南,华北,华中,西北,东北"</formula1>
    </dataValidation>
    <dataValidation sqref="G2:G500" showDropDown="0" showInputMessage="0" showErrorMessage="0" allowBlank="1" type="list">
      <formula1>"是,否"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24" customWidth="1" min="6" max="6"/>
    <col width="14" customWidth="1" min="7" max="7"/>
    <col width="32" customWidth="1" min="8" max="8"/>
    <col width="12" customWidth="1" min="9" max="9"/>
    <col width="14" customWidth="1" min="10" max="10"/>
    <col width="12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3" t="inlineStr">
        <is>
          <t>数据日期</t>
        </is>
      </c>
      <c r="B1" s="13" t="inlineStr">
        <is>
          <t>KA系统</t>
        </is>
      </c>
      <c r="C1" s="13" t="inlineStr">
        <is>
          <t>大区</t>
        </is>
      </c>
      <c r="D1" s="13" t="inlineStr">
        <is>
          <t>省份</t>
        </is>
      </c>
      <c r="E1" s="13" t="inlineStr">
        <is>
          <t>门店编码</t>
        </is>
      </c>
      <c r="F1" s="13" t="inlineStr">
        <is>
          <t>门店名称</t>
        </is>
      </c>
      <c r="G1" s="13" t="inlineStr">
        <is>
          <t>商品编码</t>
        </is>
      </c>
      <c r="H1" s="13" t="inlineStr">
        <is>
          <t>商品名称</t>
        </is>
      </c>
      <c r="I1" s="13" t="inlineStr">
        <is>
          <t>出货数量</t>
        </is>
      </c>
      <c r="J1" s="13" t="inlineStr">
        <is>
          <t>出货金额</t>
        </is>
      </c>
      <c r="K1" s="13" t="inlineStr">
        <is>
          <t>退货数量</t>
        </is>
      </c>
      <c r="L1" s="13" t="inlineStr">
        <is>
          <t>退货金额</t>
        </is>
      </c>
      <c r="M1" s="13" t="inlineStr">
        <is>
          <t>出货字段来源</t>
        </is>
      </c>
      <c r="N1" s="13" t="inlineStr">
        <is>
          <t>退货字段来源</t>
        </is>
      </c>
      <c r="O1" s="13" t="inlineStr">
        <is>
          <t>备注</t>
        </is>
      </c>
    </row>
    <row r="2">
      <c r="A2" s="53" t="n">
        <v>46172</v>
      </c>
      <c r="B2" s="20" t="inlineStr">
        <is>
          <t>盒马</t>
        </is>
      </c>
      <c r="C2" s="20" t="inlineStr">
        <is>
          <t>华中</t>
        </is>
      </c>
      <c r="D2" s="20" t="inlineStr">
        <is>
          <t>湖北</t>
        </is>
      </c>
      <c r="E2" s="20" t="inlineStr">
        <is>
          <t>HM001</t>
        </is>
      </c>
      <c r="F2" s="20" t="inlineStr">
        <is>
          <t>武汉珞狮路店</t>
        </is>
      </c>
      <c r="G2" s="20" t="inlineStr">
        <is>
          <t>431448153</t>
        </is>
      </c>
      <c r="H2" s="20" t="inlineStr">
        <is>
          <t>盒马工坊 蒜香无骨鸡爪 230g</t>
        </is>
      </c>
      <c r="I2" s="54" t="n">
        <v>24043</v>
      </c>
      <c r="J2" s="54" t="inlineStr"/>
      <c r="K2" s="54" t="n">
        <v>120</v>
      </c>
      <c r="L2" s="54" t="inlineStr"/>
      <c r="M2" s="20" t="inlineStr">
        <is>
          <t>当天入库采购件数数量</t>
        </is>
      </c>
      <c r="N2" s="20" t="inlineStr">
        <is>
          <t>退货数量</t>
        </is>
      </c>
      <c r="O2" s="20" t="inlineStr"/>
    </row>
    <row r="3">
      <c r="A3" s="53" t="n">
        <v>46172</v>
      </c>
      <c r="B3" s="20" t="inlineStr">
        <is>
          <t>家得福</t>
        </is>
      </c>
      <c r="C3" s="20" t="inlineStr">
        <is>
          <t>华东</t>
        </is>
      </c>
      <c r="D3" s="20" t="inlineStr">
        <is>
          <t>江苏</t>
        </is>
      </c>
      <c r="E3" s="20" t="inlineStr">
        <is>
          <t>1001</t>
        </is>
      </c>
      <c r="F3" s="20" t="inlineStr">
        <is>
          <t>家得福海棠店</t>
        </is>
      </c>
      <c r="G3" s="20" t="inlineStr">
        <is>
          <t>10081319</t>
        </is>
      </c>
      <c r="H3" s="20" t="inlineStr">
        <is>
          <t>脱骨侠酸辣柠檬无骨鸡爪780g</t>
        </is>
      </c>
      <c r="I3" s="54" t="n">
        <v>315</v>
      </c>
      <c r="J3" s="54" t="n">
        <v>9050</v>
      </c>
      <c r="K3" s="54" t="n">
        <v>0</v>
      </c>
      <c r="L3" s="54" t="n">
        <v>0</v>
      </c>
      <c r="M3" s="20" t="inlineStr">
        <is>
          <t>进货数量/含税进货金额</t>
        </is>
      </c>
      <c r="N3" s="20" t="inlineStr">
        <is>
          <t>含税退补金额</t>
        </is>
      </c>
      <c r="O3" s="20" t="inlineStr"/>
    </row>
    <row r="4">
      <c r="A4" s="53" t="n">
        <v>46172</v>
      </c>
      <c r="B4" s="20" t="inlineStr">
        <is>
          <t>大润发</t>
        </is>
      </c>
      <c r="C4" s="20" t="inlineStr">
        <is>
          <t>华东</t>
        </is>
      </c>
      <c r="D4" s="20" t="inlineStr">
        <is>
          <t>上海</t>
        </is>
      </c>
      <c r="E4" s="20" t="inlineStr">
        <is>
          <t>1001</t>
        </is>
      </c>
      <c r="F4" s="20" t="inlineStr">
        <is>
          <t>闸北店</t>
        </is>
      </c>
      <c r="G4" s="20" t="inlineStr">
        <is>
          <t>4354168</t>
        </is>
      </c>
      <c r="H4" s="20" t="inlineStr">
        <is>
          <t>脱骨侠无骨鸡爪(柠檬味)</t>
        </is>
      </c>
      <c r="I4" s="54" t="n">
        <v>725</v>
      </c>
      <c r="J4" s="54" t="inlineStr"/>
      <c r="K4" s="54" t="inlineStr"/>
      <c r="L4" s="54" t="inlineStr"/>
      <c r="M4" s="20" t="inlineStr">
        <is>
          <t>待收</t>
        </is>
      </c>
      <c r="N4" s="20" t="inlineStr">
        <is>
          <t>源表无退货发生</t>
        </is>
      </c>
      <c r="O4" s="20" t="inlineStr">
        <is>
          <t>待收不等于真实出货，需业务确认</t>
        </is>
      </c>
    </row>
    <row r="5">
      <c r="A5" s="53" t="n">
        <v>46172</v>
      </c>
      <c r="B5" s="20" t="inlineStr">
        <is>
          <t>沃尔玛</t>
        </is>
      </c>
      <c r="C5" s="20" t="inlineStr">
        <is>
          <t>华南</t>
        </is>
      </c>
      <c r="D5" s="20" t="inlineStr">
        <is>
          <t>广东</t>
        </is>
      </c>
      <c r="E5" s="20" t="inlineStr">
        <is>
          <t>101</t>
        </is>
      </c>
      <c r="F5" s="20" t="inlineStr">
        <is>
          <t>沃尔玛广州天河店</t>
        </is>
      </c>
      <c r="G5" s="20" t="inlineStr">
        <is>
          <t>25354863</t>
        </is>
      </c>
      <c r="H5" s="20" t="inlineStr">
        <is>
          <t>常温脱骨侠无骨鸡爪柠檬</t>
        </is>
      </c>
      <c r="I5" s="54" t="inlineStr"/>
      <c r="J5" s="54" t="inlineStr"/>
      <c r="K5" s="54" t="inlineStr"/>
      <c r="L5" s="54" t="inlineStr"/>
      <c r="M5" s="20" t="inlineStr">
        <is>
          <t>缺进货源</t>
        </is>
      </c>
      <c r="N5" s="20" t="inlineStr">
        <is>
          <t>缺退货源</t>
        </is>
      </c>
      <c r="O5" s="20" t="inlineStr">
        <is>
          <t>需补退货/进货明细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9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A1" s="13" t="inlineStr">
        <is>
          <t>KA系统</t>
        </is>
      </c>
      <c r="B1" s="13" t="inlineStr">
        <is>
          <t>门店编码</t>
        </is>
      </c>
      <c r="C1" s="13" t="inlineStr">
        <is>
          <t>门店名称</t>
        </is>
      </c>
      <c r="D1" s="13" t="inlineStr">
        <is>
          <t>是否DC</t>
        </is>
      </c>
      <c r="E1" s="13" t="inlineStr">
        <is>
          <t>大区</t>
        </is>
      </c>
      <c r="F1" s="13" t="inlineStr">
        <is>
          <t>省份</t>
        </is>
      </c>
      <c r="G1" s="13" t="inlineStr">
        <is>
          <t>城市</t>
        </is>
      </c>
      <c r="H1" s="13" t="inlineStr">
        <is>
          <t>内外区</t>
        </is>
      </c>
      <c r="I1" s="13" t="inlineStr">
        <is>
          <t>门店状态</t>
        </is>
      </c>
    </row>
    <row r="2">
      <c r="A2" s="20" t="inlineStr">
        <is>
          <t>大润发</t>
        </is>
      </c>
      <c r="B2" s="20" t="inlineStr">
        <is>
          <t>1001</t>
        </is>
      </c>
      <c r="C2" s="20" t="inlineStr">
        <is>
          <t>闸北店</t>
        </is>
      </c>
      <c r="D2" s="20" t="inlineStr">
        <is>
          <t>否</t>
        </is>
      </c>
      <c r="E2" s="20" t="inlineStr">
        <is>
          <t>华东</t>
        </is>
      </c>
      <c r="F2" s="20" t="inlineStr">
        <is>
          <t>上海</t>
        </is>
      </c>
      <c r="G2" s="20" t="inlineStr">
        <is>
          <t>上海</t>
        </is>
      </c>
      <c r="H2" s="20" t="inlineStr">
        <is>
          <t>内区</t>
        </is>
      </c>
      <c r="I2" s="20" t="inlineStr">
        <is>
          <t>开业</t>
        </is>
      </c>
    </row>
    <row r="3">
      <c r="A3" s="20" t="inlineStr">
        <is>
          <t>大润发</t>
        </is>
      </c>
      <c r="B3" s="20" t="inlineStr">
        <is>
          <t>1002</t>
        </is>
      </c>
      <c r="C3" s="20" t="inlineStr">
        <is>
          <t>杨浦店</t>
        </is>
      </c>
      <c r="D3" s="20" t="inlineStr">
        <is>
          <t>否</t>
        </is>
      </c>
      <c r="E3" s="20" t="inlineStr">
        <is>
          <t>华东</t>
        </is>
      </c>
      <c r="F3" s="20" t="inlineStr">
        <is>
          <t>上海</t>
        </is>
      </c>
      <c r="G3" s="20" t="inlineStr">
        <is>
          <t>上海</t>
        </is>
      </c>
      <c r="H3" s="20" t="inlineStr">
        <is>
          <t>内区</t>
        </is>
      </c>
      <c r="I3" s="20" t="inlineStr">
        <is>
          <t>开业</t>
        </is>
      </c>
    </row>
    <row r="4">
      <c r="A4" s="20" t="inlineStr">
        <is>
          <t>大润发</t>
        </is>
      </c>
      <c r="B4" s="20" t="inlineStr">
        <is>
          <t>5001</t>
        </is>
      </c>
      <c r="C4" s="20" t="inlineStr">
        <is>
          <t>广州天河店</t>
        </is>
      </c>
      <c r="D4" s="20" t="inlineStr">
        <is>
          <t>否</t>
        </is>
      </c>
      <c r="E4" s="20" t="inlineStr">
        <is>
          <t>华南</t>
        </is>
      </c>
      <c r="F4" s="20" t="inlineStr">
        <is>
          <t>广东</t>
        </is>
      </c>
      <c r="G4" s="20" t="inlineStr">
        <is>
          <t>广州</t>
        </is>
      </c>
      <c r="H4" s="20" t="inlineStr">
        <is>
          <t>外区</t>
        </is>
      </c>
      <c r="I4" s="20" t="inlineStr">
        <is>
          <t>开业</t>
        </is>
      </c>
    </row>
    <row r="5">
      <c r="A5" s="20" t="inlineStr">
        <is>
          <t>沃尔玛</t>
        </is>
      </c>
      <c r="B5" s="20" t="inlineStr">
        <is>
          <t>101</t>
        </is>
      </c>
      <c r="C5" s="20" t="inlineStr">
        <is>
          <t>沃尔玛广州天河店</t>
        </is>
      </c>
      <c r="D5" s="20" t="inlineStr">
        <is>
          <t>否</t>
        </is>
      </c>
      <c r="E5" s="20" t="inlineStr">
        <is>
          <t>华南</t>
        </is>
      </c>
      <c r="F5" s="20" t="inlineStr">
        <is>
          <t>广东</t>
        </is>
      </c>
      <c r="G5" s="20" t="inlineStr">
        <is>
          <t>广州</t>
        </is>
      </c>
      <c r="H5" s="20" t="inlineStr">
        <is>
          <t>外区</t>
        </is>
      </c>
      <c r="I5" s="20" t="inlineStr">
        <is>
          <t>开业</t>
        </is>
      </c>
    </row>
    <row r="6">
      <c r="A6" s="20" t="inlineStr">
        <is>
          <t>华润</t>
        </is>
      </c>
      <c r="B6" s="20" t="inlineStr">
        <is>
          <t>204392</t>
        </is>
      </c>
      <c r="C6" s="20" t="inlineStr">
        <is>
          <t>皇姑店</t>
        </is>
      </c>
      <c r="D6" s="20" t="inlineStr">
        <is>
          <t>否</t>
        </is>
      </c>
      <c r="E6" s="20" t="inlineStr">
        <is>
          <t>华北</t>
        </is>
      </c>
      <c r="F6" s="20" t="inlineStr">
        <is>
          <t>北京</t>
        </is>
      </c>
      <c r="G6" s="20" t="inlineStr">
        <is>
          <t>北京</t>
        </is>
      </c>
      <c r="H6" s="20" t="inlineStr">
        <is>
          <t>外区</t>
        </is>
      </c>
      <c r="I6" s="20" t="inlineStr">
        <is>
          <t>开业</t>
        </is>
      </c>
    </row>
    <row r="7">
      <c r="A7" s="20" t="inlineStr">
        <is>
          <t>盒马</t>
        </is>
      </c>
      <c r="B7" s="20" t="inlineStr">
        <is>
          <t>HM001</t>
        </is>
      </c>
      <c r="C7" s="20" t="inlineStr">
        <is>
          <t>武汉珞狮路店</t>
        </is>
      </c>
      <c r="D7" s="20" t="inlineStr">
        <is>
          <t>否</t>
        </is>
      </c>
      <c r="E7" s="20" t="inlineStr">
        <is>
          <t>华中</t>
        </is>
      </c>
      <c r="F7" s="20" t="inlineStr">
        <is>
          <t>湖北</t>
        </is>
      </c>
      <c r="G7" s="20" t="inlineStr">
        <is>
          <t>武汉</t>
        </is>
      </c>
      <c r="H7" s="20" t="inlineStr">
        <is>
          <t>外区</t>
        </is>
      </c>
      <c r="I7" s="20" t="inlineStr">
        <is>
          <t>开业</t>
        </is>
      </c>
    </row>
    <row r="8">
      <c r="A8" s="20" t="inlineStr">
        <is>
          <t>永辉</t>
        </is>
      </c>
      <c r="B8" s="20" t="inlineStr">
        <is>
          <t>9626</t>
        </is>
      </c>
      <c r="C8" s="20" t="inlineStr">
        <is>
          <t>滨江区龙湖天街店</t>
        </is>
      </c>
      <c r="D8" s="20" t="inlineStr">
        <is>
          <t>否</t>
        </is>
      </c>
      <c r="E8" s="20" t="inlineStr">
        <is>
          <t>华东</t>
        </is>
      </c>
      <c r="F8" s="20" t="inlineStr">
        <is>
          <t>浙江</t>
        </is>
      </c>
      <c r="G8" s="20" t="inlineStr">
        <is>
          <t>杭州</t>
        </is>
      </c>
      <c r="H8" s="20" t="inlineStr">
        <is>
          <t>内区</t>
        </is>
      </c>
      <c r="I8" s="20" t="inlineStr">
        <is>
          <t>开业</t>
        </is>
      </c>
    </row>
    <row r="9">
      <c r="A9" s="20" t="inlineStr">
        <is>
          <t>天虹</t>
        </is>
      </c>
      <c r="B9" s="20" t="inlineStr">
        <is>
          <t>104</t>
        </is>
      </c>
      <c r="C9" s="20" t="inlineStr">
        <is>
          <t>深圳创业天虹</t>
        </is>
      </c>
      <c r="D9" s="20" t="inlineStr">
        <is>
          <t>否</t>
        </is>
      </c>
      <c r="E9" s="20" t="inlineStr">
        <is>
          <t>华南</t>
        </is>
      </c>
      <c r="F9" s="20" t="inlineStr">
        <is>
          <t>广东</t>
        </is>
      </c>
      <c r="G9" s="20" t="inlineStr">
        <is>
          <t>深圳</t>
        </is>
      </c>
      <c r="H9" s="20" t="inlineStr">
        <is>
          <t>外区</t>
        </is>
      </c>
      <c r="I9" s="20" t="inlineStr">
        <is>
          <t>开业</t>
        </is>
      </c>
    </row>
    <row r="10">
      <c r="A10" s="20" t="inlineStr">
        <is>
          <t>比优特</t>
        </is>
      </c>
      <c r="B10" s="20" t="inlineStr">
        <is>
          <t>2201</t>
        </is>
      </c>
      <c r="C10" s="20" t="inlineStr">
        <is>
          <t>麓林山店</t>
        </is>
      </c>
      <c r="D10" s="20" t="inlineStr">
        <is>
          <t>否</t>
        </is>
      </c>
      <c r="E10" s="20" t="inlineStr">
        <is>
          <t>东北</t>
        </is>
      </c>
      <c r="F10" s="20" t="inlineStr">
        <is>
          <t>黑龙江</t>
        </is>
      </c>
      <c r="G10" s="20" t="inlineStr">
        <is>
          <t>鹤岗</t>
        </is>
      </c>
      <c r="H10" s="20" t="inlineStr">
        <is>
          <t>外区</t>
        </is>
      </c>
      <c r="I10" s="20" t="inlineStr">
        <is>
          <t>开业</t>
        </is>
      </c>
    </row>
    <row r="11">
      <c r="A11" s="20" t="inlineStr">
        <is>
          <t>家得福</t>
        </is>
      </c>
      <c r="B11" s="20" t="inlineStr">
        <is>
          <t>1001</t>
        </is>
      </c>
      <c r="C11" s="20" t="inlineStr">
        <is>
          <t>家得福海棠店</t>
        </is>
      </c>
      <c r="D11" s="20" t="inlineStr">
        <is>
          <t>否</t>
        </is>
      </c>
      <c r="E11" s="20" t="inlineStr">
        <is>
          <t>华东</t>
        </is>
      </c>
      <c r="F11" s="20" t="inlineStr">
        <is>
          <t>江苏</t>
        </is>
      </c>
      <c r="G11" s="20" t="inlineStr">
        <is>
          <t>连云港</t>
        </is>
      </c>
      <c r="H11" s="20" t="inlineStr">
        <is>
          <t>内区</t>
        </is>
      </c>
      <c r="I11" s="20" t="inlineStr">
        <is>
          <t>开业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6" customWidth="1" min="4" max="4"/>
    <col width="32" customWidth="1" min="5" max="5"/>
    <col width="12" customWidth="1" min="6" max="6"/>
    <col width="10" customWidth="1" min="7" max="7"/>
    <col width="10" customWidth="1" min="8" max="8"/>
    <col width="14" customWidth="1" min="9" max="9"/>
    <col width="10" customWidth="1" min="10" max="10"/>
  </cols>
  <sheetData>
    <row r="1">
      <c r="A1" s="13" t="inlineStr">
        <is>
          <t>KA系统</t>
        </is>
      </c>
      <c r="B1" s="13" t="inlineStr">
        <is>
          <t>商品编码</t>
        </is>
      </c>
      <c r="C1" s="13" t="inlineStr">
        <is>
          <t>商品条码</t>
        </is>
      </c>
      <c r="D1" s="13" t="inlineStr">
        <is>
          <t>统一商品名</t>
        </is>
      </c>
      <c r="E1" s="13" t="inlineStr">
        <is>
          <t>系统商品名</t>
        </is>
      </c>
      <c r="F1" s="13" t="inlineStr">
        <is>
          <t>规格</t>
        </is>
      </c>
      <c r="G1" s="13" t="inlineStr">
        <is>
          <t>温层</t>
        </is>
      </c>
      <c r="H1" s="13" t="inlineStr">
        <is>
          <t>口味</t>
        </is>
      </c>
      <c r="I1" s="13" t="inlineStr">
        <is>
          <t>产品线</t>
        </is>
      </c>
      <c r="J1" s="13" t="inlineStr">
        <is>
          <t>是否核心品</t>
        </is>
      </c>
    </row>
    <row r="2">
      <c r="A2" s="20" t="inlineStr">
        <is>
          <t>大润发</t>
        </is>
      </c>
      <c r="B2" s="20" t="inlineStr">
        <is>
          <t>4354168</t>
        </is>
      </c>
      <c r="C2" s="20" t="inlineStr">
        <is>
          <t>697000000001</t>
        </is>
      </c>
      <c r="D2" s="20" t="inlineStr">
        <is>
          <t>无骨鸡爪 柠檬味 158g</t>
        </is>
      </c>
      <c r="E2" s="20" t="inlineStr">
        <is>
          <t>脱骨侠无骨鸡爪(柠檬味)</t>
        </is>
      </c>
      <c r="F2" s="20" t="inlineStr">
        <is>
          <t>158g/袋</t>
        </is>
      </c>
      <c r="G2" s="20" t="inlineStr">
        <is>
          <t>常温</t>
        </is>
      </c>
      <c r="H2" s="20" t="inlineStr">
        <is>
          <t>柠檬</t>
        </is>
      </c>
      <c r="I2" s="20" t="inlineStr">
        <is>
          <t>无骨鸡爪</t>
        </is>
      </c>
      <c r="J2" s="20" t="inlineStr">
        <is>
          <t>Y</t>
        </is>
      </c>
    </row>
    <row r="3">
      <c r="A3" s="20" t="inlineStr">
        <is>
          <t>大润发</t>
        </is>
      </c>
      <c r="B3" s="20" t="inlineStr">
        <is>
          <t>4502138</t>
        </is>
      </c>
      <c r="C3" s="20" t="inlineStr">
        <is>
          <t>697000000003</t>
        </is>
      </c>
      <c r="D3" s="20" t="inlineStr">
        <is>
          <t>虎皮凤爪 白松露味</t>
        </is>
      </c>
      <c r="E3" s="20" t="inlineStr">
        <is>
          <t>脱骨侠虎皮凤爪(白松露味)</t>
        </is>
      </c>
      <c r="F3" s="20" t="inlineStr">
        <is>
          <t>220g/盒</t>
        </is>
      </c>
      <c r="G3" s="20" t="inlineStr">
        <is>
          <t>冷藏</t>
        </is>
      </c>
      <c r="H3" s="20" t="inlineStr">
        <is>
          <t>白松露</t>
        </is>
      </c>
      <c r="I3" s="20" t="inlineStr">
        <is>
          <t>虎皮凤爪</t>
        </is>
      </c>
      <c r="J3" s="20" t="inlineStr">
        <is>
          <t>Y</t>
        </is>
      </c>
    </row>
    <row r="4">
      <c r="A4" s="20" t="inlineStr">
        <is>
          <t>沃尔玛</t>
        </is>
      </c>
      <c r="B4" s="20" t="inlineStr">
        <is>
          <t>25354863</t>
        </is>
      </c>
      <c r="C4" s="20" t="inlineStr">
        <is>
          <t>0697765695110</t>
        </is>
      </c>
      <c r="D4" s="20" t="inlineStr">
        <is>
          <t>无骨鸡爪 柠檬味 158g</t>
        </is>
      </c>
      <c r="E4" s="20" t="inlineStr">
        <is>
          <t>常温脱骨侠无骨鸡爪柠檬</t>
        </is>
      </c>
      <c r="F4" s="20" t="inlineStr">
        <is>
          <t>158g/袋</t>
        </is>
      </c>
      <c r="G4" s="20" t="inlineStr">
        <is>
          <t>常温</t>
        </is>
      </c>
      <c r="H4" s="20" t="inlineStr">
        <is>
          <t>柠檬</t>
        </is>
      </c>
      <c r="I4" s="20" t="inlineStr">
        <is>
          <t>无骨鸡爪</t>
        </is>
      </c>
      <c r="J4" s="20" t="inlineStr">
        <is>
          <t>Y</t>
        </is>
      </c>
    </row>
    <row r="5">
      <c r="A5" s="20" t="inlineStr">
        <is>
          <t>盒马</t>
        </is>
      </c>
      <c r="B5" s="20" t="inlineStr">
        <is>
          <t>431448153</t>
        </is>
      </c>
      <c r="C5" s="20" t="inlineStr">
        <is>
          <t>6973883075387</t>
        </is>
      </c>
      <c r="D5" s="20" t="inlineStr">
        <is>
          <t>蒜香无骨鸡爪 230g</t>
        </is>
      </c>
      <c r="E5" s="20" t="inlineStr">
        <is>
          <t>盒马工坊 蒜香无骨鸡爪 230g</t>
        </is>
      </c>
      <c r="F5" s="20" t="inlineStr">
        <is>
          <t>230g/盒</t>
        </is>
      </c>
      <c r="G5" s="20" t="inlineStr">
        <is>
          <t>冷藏</t>
        </is>
      </c>
      <c r="H5" s="20" t="inlineStr">
        <is>
          <t>蒜香</t>
        </is>
      </c>
      <c r="I5" s="20" t="inlineStr">
        <is>
          <t>无骨鸡爪</t>
        </is>
      </c>
      <c r="J5" s="20" t="inlineStr">
        <is>
          <t>Y</t>
        </is>
      </c>
    </row>
    <row r="6">
      <c r="A6" s="20" t="inlineStr">
        <is>
          <t>天虹</t>
        </is>
      </c>
      <c r="B6" s="20" t="inlineStr">
        <is>
          <t>v000110869</t>
        </is>
      </c>
      <c r="C6" s="20" t="inlineStr">
        <is>
          <t>6977656954114</t>
        </is>
      </c>
      <c r="D6" s="20" t="inlineStr">
        <is>
          <t>双椒无骨鸭掌 320g</t>
        </is>
      </c>
      <c r="E6" s="20" t="inlineStr">
        <is>
          <t>脱骨侠双椒无骨鸭掌</t>
        </is>
      </c>
      <c r="F6" s="20" t="inlineStr">
        <is>
          <t>320g/袋</t>
        </is>
      </c>
      <c r="G6" s="20" t="inlineStr">
        <is>
          <t>冷藏</t>
        </is>
      </c>
      <c r="H6" s="20" t="inlineStr">
        <is>
          <t>双椒</t>
        </is>
      </c>
      <c r="I6" s="20" t="inlineStr">
        <is>
          <t>鸭掌</t>
        </is>
      </c>
      <c r="J6" s="20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  <col width="40" customWidth="1" min="4" max="4"/>
  </cols>
  <sheetData>
    <row r="1">
      <c r="A1" s="13" t="inlineStr">
        <is>
          <t>指标</t>
        </is>
      </c>
      <c r="B1" s="13" t="inlineStr">
        <is>
          <t>计算口径</t>
        </is>
      </c>
      <c r="C1" s="13" t="inlineStr">
        <is>
          <t>建议字段/公式</t>
        </is>
      </c>
      <c r="D1" s="13" t="inlineStr">
        <is>
          <t>注意事项</t>
        </is>
      </c>
    </row>
    <row r="2">
      <c r="A2" s="23" t="inlineStr">
        <is>
          <t>销售数量</t>
        </is>
      </c>
      <c r="B2" s="23" t="inlineStr">
        <is>
          <t>按日期、系统、门店、商品、渠道汇总 POS 销售数量</t>
        </is>
      </c>
      <c r="C2" s="23" t="inlineStr">
        <is>
          <t>SUMIFS(销售明细[销售数量], ...)</t>
        </is>
      </c>
      <c r="D2" s="23" t="inlineStr">
        <is>
          <t>不同系统最小单位需统一</t>
        </is>
      </c>
    </row>
    <row r="3">
      <c r="A3" s="23" t="inlineStr">
        <is>
          <t>销售金额</t>
        </is>
      </c>
      <c r="B3" s="23" t="inlineStr">
        <is>
          <t>按同维度汇总 POS 销售金额，优先含税口径</t>
        </is>
      </c>
      <c r="C3" s="23" t="inlineStr">
        <is>
          <t>SUMIFS(销售明细[销售金额], ...)</t>
        </is>
      </c>
      <c r="D3" s="23" t="inlineStr">
        <is>
          <t>沃尔玛部分为未税，需保留标签或换算</t>
        </is>
      </c>
    </row>
    <row r="4">
      <c r="A4" s="23" t="inlineStr">
        <is>
          <t>出货数量</t>
        </is>
      </c>
      <c r="B4" s="23" t="inlineStr">
        <is>
          <t>优先取进货/入库/日收/月收/待收等字段</t>
        </is>
      </c>
      <c r="C4" s="23" t="inlineStr">
        <is>
          <t>出货退货[出货数量]</t>
        </is>
      </c>
      <c r="D4" s="23" t="inlineStr">
        <is>
          <t>待收不一定等于真实出货</t>
        </is>
      </c>
    </row>
    <row r="5">
      <c r="A5" s="23" t="inlineStr">
        <is>
          <t>近7日平均销量</t>
        </is>
      </c>
      <c r="B5" s="23" t="inlineStr">
        <is>
          <t>建议 D-7 至 D-1 销售数量合计 / 7</t>
        </is>
      </c>
      <c r="C5" s="23" t="inlineStr">
        <is>
          <t>SUMIFS(...)/7</t>
        </is>
      </c>
      <c r="D5" s="23" t="inlineStr">
        <is>
          <t>不建议包含数据日</t>
        </is>
      </c>
    </row>
    <row r="6">
      <c r="A6" s="23" t="inlineStr">
        <is>
          <t>门店库存周转天数</t>
        </is>
      </c>
      <c r="B6" s="23" t="inlineStr">
        <is>
          <t>门店库存 / 近7日平均销量</t>
        </is>
      </c>
      <c r="C6" s="23" t="inlineStr">
        <is>
          <t>'=IFERROR(门店库存/近7日平均销量,"")</t>
        </is>
      </c>
      <c r="D6" s="23" t="inlineStr">
        <is>
          <t>均销为0且有库存时标记无动销库存</t>
        </is>
      </c>
    </row>
    <row r="7">
      <c r="A7" s="23" t="inlineStr">
        <is>
          <t>PSD</t>
        </is>
      </c>
      <c r="B7" s="23" t="inlineStr">
        <is>
          <t>销售数量 / 有库存门店数</t>
        </is>
      </c>
      <c r="C7" s="23" t="inlineStr">
        <is>
          <t>销售数量/有库存门店数</t>
        </is>
      </c>
      <c r="D7" s="23" t="inlineStr">
        <is>
          <t>需确认分母沿用现有日报口径</t>
        </is>
      </c>
    </row>
    <row r="8">
      <c r="A8" s="23" t="inlineStr">
        <is>
          <t>超60天门店数</t>
        </is>
      </c>
      <c r="B8" s="23" t="inlineStr">
        <is>
          <t>周转天数&gt;60 且门店库存&gt;0 的门店数</t>
        </is>
      </c>
      <c r="C8" s="23" t="inlineStr">
        <is>
          <t>COUNTIFS(...)</t>
        </is>
      </c>
      <c r="D8" s="23" t="inlineStr">
        <is>
          <t>排除 DC、闭店、小店需依赖门店维表</t>
        </is>
      </c>
    </row>
    <row r="9">
      <c r="A9" s="23" t="inlineStr">
        <is>
          <t>退货率</t>
        </is>
      </c>
      <c r="B9" s="23" t="inlineStr">
        <is>
          <t>当月退货数量 / 当月进货数量</t>
        </is>
      </c>
      <c r="C9" s="23" t="inlineStr">
        <is>
          <t>退货数量/进货数量</t>
        </is>
      </c>
      <c r="D9" s="23" t="inlineStr">
        <is>
          <t>沃尔玛当前缺退货/进货源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2026-06-01T07:18:10Z</dcterms:created>
  <dcterms:modified xmlns:dcterms="http://purl.org/dc/terms/" xmlns:xsi="http://www.w3.org/2001/XMLSchema-instance" xsi:type="dcterms:W3CDTF">2026-06-01T07:38:50Z</dcterms:modified>
</cp:coreProperties>
</file>