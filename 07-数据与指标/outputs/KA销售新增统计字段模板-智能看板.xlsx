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总览仪表盘" sheetId="1" r:id="rId1"/>
    <sheet name="智能日报看板" sheetId="2" r:id="rId2"/>
    <sheet name="销售明细" sheetId="4" r:id="rId3"/>
    <sheet name="库存明细" sheetId="5" r:id="rId4"/>
    <sheet name="出货退货" sheetId="6" r:id="rId5"/>
    <sheet name="门店维表" sheetId="7" r:id="rId6"/>
    <sheet name="商品维表" sheetId="8" r:id="rId7"/>
    <sheet name="指标口径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<sst xmlns="http://schemas.openxmlformats.org/spreadsheetml/2006/main" count="736" uniqueCount="240">
  <si>
    <t>KA销售新增统计字段模板</t>
  </si>
  <si>
    <t>可替换明细页示例数据；总览页公式会自动汇总销售、库存、出货退货与周转风险。</t>
  </si>
  <si>
    <t>销售金额</t>
  </si>
  <si>
    <t>销售数量</t>
  </si>
  <si>
    <t>门店库存</t>
  </si>
  <si>
    <t>超60天门店</t>
  </si>
  <si>
    <t>●</t>
  </si>
  <si>
    <t>按系统销售汇总</t>
  </si>
  <si>
    <t>按日期销售趋势</t>
  </si>
  <si>
    <t>KA系统</t>
  </si>
  <si>
    <t>占比</t>
  </si>
  <si>
    <t>日期</t>
  </si>
  <si>
    <t>动销门店</t>
  </si>
  <si>
    <t>大润发</t>
  </si>
  <si>
    <t>盒马</t>
  </si>
  <si>
    <t>华润</t>
  </si>
  <si>
    <t>沃尔玛</t>
  </si>
  <si>
    <t>永辉</t>
  </si>
  <si>
    <t>天虹</t>
  </si>
  <si>
    <t>比优特</t>
  </si>
  <si>
    <t>家得福</t>
  </si>
  <si>
    <t>大区库存周转风险</t>
  </si>
  <si>
    <t>出货 / POS 对比</t>
  </si>
  <si>
    <t>大区</t>
  </si>
  <si>
    <t>近7日均销</t>
  </si>
  <si>
    <t>周转天数</t>
  </si>
  <si>
    <t>POS销售额</t>
  </si>
  <si>
    <t>出货金额</t>
  </si>
  <si>
    <t>差额</t>
  </si>
  <si>
    <t>出货/POS</t>
  </si>
  <si>
    <t>华东</t>
  </si>
  <si>
    <t>华南</t>
  </si>
  <si>
    <t>华北</t>
  </si>
  <si>
    <t>华中</t>
  </si>
  <si>
    <t>东北</t>
  </si>
  <si>
    <t>KA智能日报看板</t>
  </si>
  <si>
    <t>图表/明细计算区</t>
  </si>
  <si>
    <t>筛选参数</t>
  </si>
  <si>
    <t>统计日期</t>
  </si>
  <si>
    <t>省份</t>
  </si>
  <si>
    <t>温层</t>
  </si>
  <si>
    <t>渠道</t>
  </si>
  <si>
    <t>全部</t>
  </si>
  <si>
    <t>销售额</t>
  </si>
  <si>
    <t>销量</t>
  </si>
  <si>
    <t>说明：销售、品项、渠道、门店TOP按销售明细汇总；库存与周转按库存明细汇总；出货/退货按出货退货页汇总。库存页暂不受温层、渠道筛选影响。</t>
  </si>
  <si>
    <t>当月日均销量</t>
  </si>
  <si>
    <t>库存</t>
  </si>
  <si>
    <t>有库存门店数</t>
  </si>
  <si>
    <t>动销门店数</t>
  </si>
  <si>
    <t/>
  </si>
  <si>
    <t>门店明细-动销TOP5</t>
  </si>
  <si>
    <t>经营提醒</t>
  </si>
  <si>
    <t>门店名称</t>
  </si>
  <si>
    <t>库存数量</t>
  </si>
  <si>
    <t>提醒项</t>
  </si>
  <si>
    <t>结果</t>
  </si>
  <si>
    <t>建议动作</t>
  </si>
  <si>
    <t>低于80%时检查补货或出货源</t>
  </si>
  <si>
    <t>退货率</t>
  </si>
  <si>
    <t>高于5%时按单品追踪原因</t>
  </si>
  <si>
    <t>周转风险</t>
  </si>
  <si>
    <t>优先处理库存大且无动销门店</t>
  </si>
  <si>
    <t>数据质量</t>
  </si>
  <si>
    <t>补齐日期、门店、商品、金额字段</t>
  </si>
  <si>
    <t>退货金额</t>
  </si>
  <si>
    <t>汇总</t>
  </si>
  <si>
    <t>POS</t>
  </si>
  <si>
    <t>线下</t>
  </si>
  <si>
    <t>线上</t>
  </si>
  <si>
    <t>京东到家</t>
  </si>
  <si>
    <t>美团</t>
  </si>
  <si>
    <t>天虹到家</t>
  </si>
  <si>
    <t>其他</t>
  </si>
  <si>
    <t>平均周转</t>
  </si>
  <si>
    <t>品项</t>
  </si>
  <si>
    <t>数据日期</t>
  </si>
  <si>
    <t>门店编码</t>
  </si>
  <si>
    <t>是否DC</t>
  </si>
  <si>
    <t>商品编码</t>
  </si>
  <si>
    <t>商品条码</t>
  </si>
  <si>
    <t>商品名称</t>
  </si>
  <si>
    <t>规格</t>
  </si>
  <si>
    <t>含税口径</t>
  </si>
  <si>
    <t>动销标记</t>
  </si>
  <si>
    <t>备注</t>
  </si>
  <si>
    <t>上海</t>
  </si>
  <si>
    <t>1001</t>
  </si>
  <si>
    <t>闸北店</t>
  </si>
  <si>
    <t>否</t>
  </si>
  <si>
    <t>4354168</t>
  </si>
  <si>
    <t>697000000001</t>
  </si>
  <si>
    <t>脱骨侠无骨鸡爪(柠檬味)</t>
  </si>
  <si>
    <t>158g/袋</t>
  </si>
  <si>
    <t>常温</t>
  </si>
  <si>
    <t>含税</t>
  </si>
  <si>
    <t>Y</t>
  </si>
  <si>
    <t>江苏</t>
  </si>
  <si>
    <t>1002</t>
  </si>
  <si>
    <t>杨浦店</t>
  </si>
  <si>
    <t>4354169</t>
  </si>
  <si>
    <t>697000000002</t>
  </si>
  <si>
    <t>脱骨侠无骨鸡爪(泡椒味)</t>
  </si>
  <si>
    <t>广东</t>
  </si>
  <si>
    <t>5001</t>
  </si>
  <si>
    <t>广州天河店</t>
  </si>
  <si>
    <t>4502138</t>
  </si>
  <si>
    <t>697000000003</t>
  </si>
  <si>
    <t>脱骨侠虎皮凤爪(白松露味)</t>
  </si>
  <si>
    <t>220g/盒</t>
  </si>
  <si>
    <t>冷藏</t>
  </si>
  <si>
    <t>101</t>
  </si>
  <si>
    <t>沃尔玛广州天河店</t>
  </si>
  <si>
    <t>25354863</t>
  </si>
  <si>
    <t>0697765695110</t>
  </si>
  <si>
    <t>常温脱骨侠无骨鸡爪柠檬</t>
  </si>
  <si>
    <t>未税</t>
  </si>
  <si>
    <t>北京</t>
  </si>
  <si>
    <t>204392</t>
  </si>
  <si>
    <t>皇姑店</t>
  </si>
  <si>
    <t>5150673</t>
  </si>
  <si>
    <t>6973883075622</t>
  </si>
  <si>
    <t>脱骨侠无骨鸡爪(柠檬味)158g</t>
  </si>
  <si>
    <t>湖北</t>
  </si>
  <si>
    <t>HM001</t>
  </si>
  <si>
    <t>武汉珞狮路店</t>
  </si>
  <si>
    <t>431448153</t>
  </si>
  <si>
    <t>6973883075387</t>
  </si>
  <si>
    <t>盒马工坊 蒜香无骨鸡爪 230g</t>
  </si>
  <si>
    <t>230g/盒</t>
  </si>
  <si>
    <t>浙江</t>
  </si>
  <si>
    <t>9626</t>
  </si>
  <si>
    <t>滨江区龙湖天街店</t>
  </si>
  <si>
    <t>1830795</t>
  </si>
  <si>
    <t>6973883073277</t>
  </si>
  <si>
    <t>脱骨侠蒜香酸甜辣无骨鸡爪780g</t>
  </si>
  <si>
    <t>780g/罐</t>
  </si>
  <si>
    <t>104</t>
  </si>
  <si>
    <t>深圳创业天虹</t>
  </si>
  <si>
    <t>v000110869</t>
  </si>
  <si>
    <t>6977656954114</t>
  </si>
  <si>
    <t>脱骨侠双椒无骨鸭掌</t>
  </si>
  <si>
    <t>320g/袋</t>
  </si>
  <si>
    <t>黑龙江</t>
  </si>
  <si>
    <t>2201</t>
  </si>
  <si>
    <t>麓林山店</t>
  </si>
  <si>
    <t>1156752</t>
  </si>
  <si>
    <t>脱骨侠无骨鸡爪蒜香酸甜辣780g</t>
  </si>
  <si>
    <t>家得福海棠店</t>
  </si>
  <si>
    <t>10081319</t>
  </si>
  <si>
    <t>6973883073284</t>
  </si>
  <si>
    <t>脱骨侠酸辣柠檬无骨鸡爪780g</t>
  </si>
  <si>
    <t>天津</t>
  </si>
  <si>
    <t>6001</t>
  </si>
  <si>
    <t>天津南开店</t>
  </si>
  <si>
    <t>4354172</t>
  </si>
  <si>
    <t>697000000004</t>
  </si>
  <si>
    <t>脱骨侠盐焗鸡爪</t>
  </si>
  <si>
    <t>138g/袋</t>
  </si>
  <si>
    <t>2470</t>
  </si>
  <si>
    <t>沃尔玛赤峰玉龙大街店</t>
  </si>
  <si>
    <t>25325573</t>
  </si>
  <si>
    <t>0697388307468</t>
  </si>
  <si>
    <t>冷藏蒜香凤爪</t>
  </si>
  <si>
    <t>DC库存</t>
  </si>
  <si>
    <t>在途/待收</t>
  </si>
  <si>
    <t>近7日平均销量</t>
  </si>
  <si>
    <t>是否超60天</t>
  </si>
  <si>
    <t>出货数量</t>
  </si>
  <si>
    <t>退货数量</t>
  </si>
  <si>
    <t>出货字段来源</t>
  </si>
  <si>
    <t>退货字段来源</t>
  </si>
  <si>
    <t>当天入库采购件数数量</t>
  </si>
  <si>
    <t>进货数量/含税进货金额</t>
  </si>
  <si>
    <t>含税退补金额</t>
  </si>
  <si>
    <t>待收</t>
  </si>
  <si>
    <t>源表无退货发生</t>
  </si>
  <si>
    <t>待收不等于真实出货，需业务确认</t>
  </si>
  <si>
    <t>缺进货源</t>
  </si>
  <si>
    <t>缺退货源</t>
  </si>
  <si>
    <t>需补退货/进货明细</t>
  </si>
  <si>
    <t>城市</t>
  </si>
  <si>
    <t>内外区</t>
  </si>
  <si>
    <t>门店状态</t>
  </si>
  <si>
    <t>内区</t>
  </si>
  <si>
    <t>开业</t>
  </si>
  <si>
    <t>广州</t>
  </si>
  <si>
    <t>外区</t>
  </si>
  <si>
    <t>武汉</t>
  </si>
  <si>
    <t>杭州</t>
  </si>
  <si>
    <t>深圳</t>
  </si>
  <si>
    <t>鹤岗</t>
  </si>
  <si>
    <t>连云港</t>
  </si>
  <si>
    <t>统一商品名</t>
  </si>
  <si>
    <t>系统商品名</t>
  </si>
  <si>
    <t>口味</t>
  </si>
  <si>
    <t>产品线</t>
  </si>
  <si>
    <t>是否核心品</t>
  </si>
  <si>
    <t>无骨鸡爪 柠檬味 158g</t>
  </si>
  <si>
    <t>柠檬</t>
  </si>
  <si>
    <t>无骨鸡爪</t>
  </si>
  <si>
    <t>虎皮凤爪 白松露味</t>
  </si>
  <si>
    <t>白松露</t>
  </si>
  <si>
    <t>虎皮凤爪</t>
  </si>
  <si>
    <t>蒜香无骨鸡爪 230g</t>
  </si>
  <si>
    <t>蒜香</t>
  </si>
  <si>
    <t>双椒无骨鸭掌 320g</t>
  </si>
  <si>
    <t>双椒</t>
  </si>
  <si>
    <t>鸭掌</t>
  </si>
  <si>
    <t>指标</t>
  </si>
  <si>
    <t>计算口径</t>
  </si>
  <si>
    <t>建议字段/公式</t>
  </si>
  <si>
    <t>注意事项</t>
  </si>
  <si>
    <t>按日期、系统、门店、商品、渠道汇总 POS 销售数量</t>
  </si>
  <si>
    <t>SUMIFS(销售明细[销售数量], ...)</t>
  </si>
  <si>
    <t>不同系统最小单位需统一</t>
  </si>
  <si>
    <t>按同维度汇总 POS 销售金额，优先含税口径</t>
  </si>
  <si>
    <t>SUMIFS(销售明细[销售金额], ...)</t>
  </si>
  <si>
    <t>沃尔玛部分为未税，需保留标签或换算</t>
  </si>
  <si>
    <t>优先取进货/入库/日收/月收/待收等字段</t>
  </si>
  <si>
    <t>出货退货[出货数量]</t>
  </si>
  <si>
    <t>待收不一定等于真实出货</t>
  </si>
  <si>
    <t>建议 D-7 至 D-1 销售数量合计 / 7</t>
  </si>
  <si>
    <t>SUMIFS(...)/7</t>
  </si>
  <si>
    <t>不建议包含数据日</t>
  </si>
  <si>
    <t>门店库存周转天数</t>
  </si>
  <si>
    <t>门店库存 / 近7日平均销量</t>
  </si>
  <si>
    <t>'=IFERROR(门店库存/近7日平均销量,"")</t>
  </si>
  <si>
    <t>均销为0且有库存时标记无动销库存</t>
  </si>
  <si>
    <t>PSD</t>
  </si>
  <si>
    <t>销售数量 / 有库存门店数</t>
  </si>
  <si>
    <t>销售数量/有库存门店数</t>
  </si>
  <si>
    <t>需确认分母沿用现有日报口径</t>
  </si>
  <si>
    <t>超60天门店数</t>
  </si>
  <si>
    <t>周转天数&gt;60 且门店库存&gt;0 的门店数</t>
  </si>
  <si>
    <t>COUNTIFS(...)</t>
  </si>
  <si>
    <t>排除 DC、闭店、小店需依赖门店维表</t>
  </si>
  <si>
    <t>当月退货数量 / 当月进货数量</t>
  </si>
  <si>
    <t>退货数量/进货数量</t>
  </si>
  <si>
    <t>沃尔玛当前缺退货/进货源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</si>
</sst>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"/>
    <numFmt numFmtId="178" formatCode="0.0%"/>
  </numFmts>
  <fonts count="44">
    <font>
      <sz val="11"/>
      <color theme="1"/>
      <name val="宋体"/>
      <charset val="134"/>
      <scheme val="minor"/>
    </font>
    <font>
      <b/>
      <sz val="11"/>
      <color rgb="FF17202A"/>
      <name val="宋体"/>
      <charset val="134"/>
      <scheme val="minor"/>
    </font>
    <font>
      <b/>
      <sz val="18"/>
      <color rgb="FF17202A"/>
      <name val="微软雅黑"/>
      <charset val="134"/>
    </font>
    <font>
      <b/>
      <sz val="11"/>
      <color rgb="FF5B6675"/>
      <name val="微软雅黑"/>
      <charset val="134"/>
    </font>
    <font>
      <b/>
      <sz val="10"/>
      <color rgb="FF5B6675"/>
      <name val="微软雅黑"/>
      <charset val="134"/>
    </font>
    <font>
      <b/>
      <sz val="9"/>
      <color rgb="FF5B6675"/>
      <name val="微软雅黑"/>
      <charset val="134"/>
    </font>
    <font>
      <b/>
      <sz val="10"/>
      <color rgb="FF17202A"/>
      <name val="微软雅黑"/>
      <charset val="134"/>
    </font>
    <font>
      <sz val="9"/>
      <color rgb="FF5B6675"/>
      <name val="微软雅黑"/>
      <charset val="134"/>
    </font>
    <font>
      <sz val="10"/>
      <color rgb="FF17202A"/>
      <name val="微软雅黑"/>
      <charset val="134"/>
    </font>
    <font>
      <b/>
      <sz val="18"/>
      <color rgb="FF1D4ED8"/>
      <name val="微软雅黑"/>
      <charset val="134"/>
    </font>
    <font>
      <b/>
      <sz val="18"/>
      <color rgb="FF15803D"/>
      <name val="微软雅黑"/>
      <charset val="134"/>
    </font>
    <font>
      <b/>
      <sz val="18"/>
      <color rgb="FF6D28D9"/>
      <name val="微软雅黑"/>
      <charset val="134"/>
    </font>
    <font>
      <b/>
      <sz val="18"/>
      <color rgb="FFB45309"/>
      <name val="微软雅黑"/>
      <charset val="134"/>
    </font>
    <font>
      <b/>
      <sz val="18"/>
      <color rgb="FF0891B2"/>
      <name val="微软雅黑"/>
      <charset val="134"/>
    </font>
    <font>
      <b/>
      <sz val="18"/>
      <color rgb="FFB91C1C"/>
      <name val="微软雅黑"/>
      <charset val="134"/>
    </font>
    <font>
      <b/>
      <sz val="11"/>
      <color rgb="FF17202A"/>
      <name val="微软雅黑"/>
      <charset val="134"/>
    </font>
    <font>
      <b/>
      <sz val="18"/>
      <color rgb="FF17202A"/>
      <name val="宋体"/>
      <charset val="134"/>
      <scheme val="minor"/>
    </font>
    <font>
      <sz val="10"/>
      <color rgb="FF5B6675"/>
      <name val="宋体"/>
      <charset val="134"/>
      <scheme val="minor"/>
    </font>
    <font>
      <b/>
      <sz val="10"/>
      <color rgb="FF5B6675"/>
      <name val="宋体"/>
      <charset val="134"/>
      <scheme val="minor"/>
    </font>
    <font>
      <b/>
      <sz val="28"/>
      <color rgb="FF15803D"/>
      <name val="宋体"/>
      <charset val="134"/>
      <scheme val="minor"/>
    </font>
    <font>
      <b/>
      <sz val="18"/>
      <color rgb="FF1D4ED8"/>
      <name val="宋体"/>
      <charset val="134"/>
      <scheme val="minor"/>
    </font>
    <font>
      <b/>
      <sz val="18"/>
      <color rgb="FF15803D"/>
      <name val="宋体"/>
      <charset val="134"/>
      <scheme val="minor"/>
    </font>
    <font>
      <b/>
      <sz val="18"/>
      <color rgb="FFB45309"/>
      <name val="宋体"/>
      <charset val="134"/>
      <scheme val="minor"/>
    </font>
    <font>
      <b/>
      <sz val="18"/>
      <color rgb="FFB91C1C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AF0F8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8DEE7"/>
      </left>
      <right style="thin">
        <color rgb="FFD8DEE7"/>
      </right>
      <top style="thin">
        <color rgb="FFD8DEE7"/>
      </top>
      <bottom style="thin">
        <color rgb="FFD8DEE7"/>
      </bottom>
      <diagonal/>
    </border>
    <border>
      <left/>
      <right style="thin">
        <color rgb="FFD8DEE7"/>
      </right>
      <top style="thin">
        <color rgb="FFD8DEE7"/>
      </top>
      <bottom style="thin">
        <color rgb="FFD8DEE7"/>
      </bottom>
      <diagonal/>
    </border>
    <border>
      <left/>
      <right style="thin">
        <color rgb="FFD8DEE7"/>
      </right>
      <top style="thin">
        <color rgb="FFD8DEE7"/>
      </top>
      <bottom/>
      <diagonal/>
    </border>
    <border>
      <left style="thin">
        <color rgb="FFD8DEE7"/>
      </left>
      <right/>
      <top/>
      <bottom/>
      <diagonal/>
    </border>
    <border>
      <left/>
      <right style="thin">
        <color rgb="FFD8DEE7"/>
      </right>
      <top/>
      <bottom/>
      <diagonal/>
    </border>
    <border>
      <left style="thin">
        <color rgb="FFD8DEE7"/>
      </left>
      <right/>
      <top/>
      <bottom style="thin">
        <color rgb="FFD8DEE7"/>
      </bottom>
      <diagonal/>
    </border>
    <border>
      <left/>
      <right style="thin">
        <color rgb="FFD8DEE7"/>
      </right>
      <top/>
      <bottom style="thin">
        <color rgb="FFD8DEE7"/>
      </bottom>
      <diagonal/>
    </border>
    <border>
      <left/>
      <right/>
      <top style="thin">
        <color rgb="FFD8DEE7"/>
      </top>
      <bottom style="thin">
        <color rgb="FFD8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6" borderId="9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7" borderId="12" applyNumberFormat="0" applyAlignment="0" applyProtection="0">
      <alignment vertical="center"/>
    </xf>
    <xf numFmtId="0" fontId="34" fillId="8" borderId="13" applyNumberFormat="0" applyAlignment="0" applyProtection="0">
      <alignment vertical="center"/>
    </xf>
    <xf numFmtId="0" fontId="35" fillId="8" borderId="12" applyNumberFormat="0" applyAlignment="0" applyProtection="0">
      <alignment vertical="center"/>
    </xf>
    <xf numFmtId="0" fontId="36" fillId="9" borderId="14" applyNumberFormat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176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0" xfId="0" applyFont="1" applyFill="1"/>
    <xf numFmtId="177" fontId="8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77" fontId="9" fillId="4" borderId="1" xfId="0" applyNumberFormat="1" applyFont="1" applyFill="1" applyBorder="1" applyAlignment="1">
      <alignment vertical="center" wrapText="1"/>
    </xf>
    <xf numFmtId="177" fontId="0" fillId="4" borderId="1" xfId="0" applyNumberFormat="1" applyFill="1" applyBorder="1" applyAlignment="1">
      <alignment vertical="center" wrapText="1"/>
    </xf>
    <xf numFmtId="177" fontId="10" fillId="4" borderId="1" xfId="0" applyNumberFormat="1" applyFont="1" applyFill="1" applyBorder="1" applyAlignment="1">
      <alignment vertical="center" wrapText="1"/>
    </xf>
    <xf numFmtId="177" fontId="11" fillId="4" borderId="1" xfId="0" applyNumberFormat="1" applyFont="1" applyFill="1" applyBorder="1" applyAlignment="1">
      <alignment vertical="center" wrapText="1"/>
    </xf>
    <xf numFmtId="177" fontId="12" fillId="4" borderId="1" xfId="0" applyNumberFormat="1" applyFont="1" applyFill="1" applyBorder="1" applyAlignment="1">
      <alignment vertical="center" wrapText="1"/>
    </xf>
    <xf numFmtId="177" fontId="13" fillId="4" borderId="1" xfId="0" applyNumberFormat="1" applyFont="1" applyFill="1" applyBorder="1" applyAlignment="1">
      <alignment vertical="center" wrapText="1"/>
    </xf>
    <xf numFmtId="177" fontId="14" fillId="4" borderId="1" xfId="0" applyNumberFormat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177" fontId="8" fillId="4" borderId="1" xfId="0" applyNumberFormat="1" applyFont="1" applyFill="1" applyBorder="1" applyAlignment="1">
      <alignment vertical="center" wrapText="1"/>
    </xf>
    <xf numFmtId="177" fontId="0" fillId="3" borderId="0" xfId="0" applyNumberFormat="1" applyFill="1"/>
    <xf numFmtId="0" fontId="8" fillId="4" borderId="1" xfId="0" applyFont="1" applyFill="1" applyBorder="1" applyAlignment="1">
      <alignment horizontal="center" vertical="center" wrapText="1"/>
    </xf>
    <xf numFmtId="178" fontId="8" fillId="4" borderId="1" xfId="0" applyNumberFormat="1" applyFont="1" applyFill="1" applyBorder="1" applyAlignment="1">
      <alignment horizontal="center" vertical="center" wrapText="1"/>
    </xf>
    <xf numFmtId="0" fontId="16" fillId="3" borderId="0" xfId="0" applyFont="1" applyFill="1"/>
    <xf numFmtId="0" fontId="17" fillId="3" borderId="0" xfId="0" applyFont="1" applyFill="1"/>
    <xf numFmtId="0" fontId="18" fillId="4" borderId="1" xfId="0" applyFont="1" applyFill="1" applyBorder="1" applyAlignment="1">
      <alignment horizontal="left" vertical="center"/>
    </xf>
    <xf numFmtId="0" fontId="0" fillId="0" borderId="2" xfId="0" applyBorder="1"/>
    <xf numFmtId="0" fontId="19" fillId="4" borderId="1" xfId="0" applyFont="1" applyFill="1" applyBorder="1" applyAlignment="1">
      <alignment horizontal="center" vertical="center"/>
    </xf>
    <xf numFmtId="0" fontId="0" fillId="0" borderId="3" xfId="0" applyBorder="1"/>
    <xf numFmtId="3" fontId="20" fillId="4" borderId="1" xfId="0" applyNumberFormat="1" applyFont="1" applyFill="1" applyBorder="1" applyAlignment="1">
      <alignment horizontal="left" vertical="center"/>
    </xf>
    <xf numFmtId="3" fontId="21" fillId="4" borderId="1" xfId="0" applyNumberFormat="1" applyFont="1" applyFill="1" applyBorder="1" applyAlignment="1">
      <alignment horizontal="left" vertical="center"/>
    </xf>
    <xf numFmtId="3" fontId="22" fillId="4" borderId="1" xfId="0" applyNumberFormat="1" applyFont="1" applyFill="1" applyBorder="1" applyAlignment="1">
      <alignment horizontal="left" vertical="center"/>
    </xf>
    <xf numFmtId="3" fontId="23" fillId="4" borderId="1" xfId="0" applyNumberFormat="1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5" borderId="1" xfId="0" applyFont="1" applyFill="1" applyBorder="1" applyAlignment="1">
      <alignment horizontal="left" vertical="center"/>
    </xf>
    <xf numFmtId="0" fontId="0" fillId="0" borderId="8" xfId="0" applyBorder="1"/>
    <xf numFmtId="3" fontId="0" fillId="4" borderId="1" xfId="0" applyNumberFormat="1" applyFill="1" applyBorder="1" applyAlignment="1">
      <alignment vertical="center" wrapText="1"/>
    </xf>
    <xf numFmtId="178" fontId="0" fillId="4" borderId="1" xfId="0" applyNumberFormat="1" applyFill="1" applyBorder="1" applyAlignment="1">
      <alignment vertical="center" wrapText="1"/>
    </xf>
    <xf numFmtId="176" fontId="0" fillId="4" borderId="1" xfId="0" applyNumberForma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B91C1C"/>
      </font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各KA销售金额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总览仪表盘!$C$9</c:f>
              <c:strCache>
                <c:ptCount val="1"/>
                <c:pt idx="0">
                  <c:v>销售金额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总览仪表盘!$B$10:$B$17</c:f>
              <c:strCache>
                <c:ptCount val="8"/>
                <c:pt idx="0">
                  <c:v>大润发</c:v>
                </c:pt>
                <c:pt idx="1">
                  <c:v>盒马</c:v>
                </c:pt>
                <c:pt idx="2">
                  <c:v>华润</c:v>
                </c:pt>
                <c:pt idx="3">
                  <c:v>沃尔玛</c:v>
                </c:pt>
                <c:pt idx="4">
                  <c:v>永辉</c:v>
                </c:pt>
                <c:pt idx="5">
                  <c:v>天虹</c:v>
                </c:pt>
                <c:pt idx="6">
                  <c:v>比优特</c:v>
                </c:pt>
                <c:pt idx="7">
                  <c:v>家得福</c:v>
                </c:pt>
              </c:strCache>
            </c:strRef>
          </c:cat>
          <c:val>
            <c:numRef>
              <c:f>总览仪表盘!$C$10:$C$17</c:f>
              <c:numCache>
                <c:formatCode>#,##0</c:formatCode>
                <c:ptCount val="8"/>
                <c:pt idx="0">
                  <c:v>16659</c:v>
                </c:pt>
                <c:pt idx="1">
                  <c:v>27040</c:v>
                </c:pt>
                <c:pt idx="2">
                  <c:v>2895</c:v>
                </c:pt>
                <c:pt idx="3">
                  <c:v>6300</c:v>
                </c:pt>
                <c:pt idx="4">
                  <c:v>2225</c:v>
                </c:pt>
                <c:pt idx="5">
                  <c:v>6064</c:v>
                </c:pt>
                <c:pt idx="6">
                  <c:v>629</c:v>
                </c:pt>
                <c:pt idx="7">
                  <c:v>1033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KA系统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金额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1640f7-121d-4774-8012-77780b5832f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销售趋势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总览仪表盘!$I$9</c:f>
              <c:strCache>
                <c:ptCount val="1"/>
                <c:pt idx="0">
                  <c:v>销售金额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总览仪表盘!$H$10:$H$16</c:f>
              <c:numCache>
                <c:formatCode>yyyy\-mm\-dd</c:formatCode>
                <c:ptCount val="7"/>
                <c:pt idx="0" c:formatCode="yyyy\-mm\-dd">
                  <c:v>46166</c:v>
                </c:pt>
                <c:pt idx="1" c:formatCode="yyyy\-mm\-dd">
                  <c:v>46167</c:v>
                </c:pt>
                <c:pt idx="2" c:formatCode="yyyy\-mm\-dd">
                  <c:v>46168</c:v>
                </c:pt>
                <c:pt idx="3" c:formatCode="yyyy\-mm\-dd">
                  <c:v>46169</c:v>
                </c:pt>
                <c:pt idx="4" c:formatCode="yyyy\-mm\-dd">
                  <c:v>46170</c:v>
                </c:pt>
                <c:pt idx="5" c:formatCode="yyyy\-mm\-dd">
                  <c:v>46171</c:v>
                </c:pt>
                <c:pt idx="6" c:formatCode="yyyy\-mm\-dd">
                  <c:v>46172</c:v>
                </c:pt>
              </c:numCache>
            </c:numRef>
          </c:cat>
          <c:val>
            <c:numRef>
              <c:f>总览仪表盘!$I$10:$I$16</c:f>
              <c:numCache>
                <c:formatCode>#,##0</c:formatCode>
                <c:ptCount val="7"/>
                <c:pt idx="0">
                  <c:v>6653</c:v>
                </c:pt>
                <c:pt idx="1">
                  <c:v>7150</c:v>
                </c:pt>
                <c:pt idx="2">
                  <c:v>15635</c:v>
                </c:pt>
                <c:pt idx="3">
                  <c:v>4954</c:v>
                </c:pt>
                <c:pt idx="4">
                  <c:v>1662</c:v>
                </c:pt>
                <c:pt idx="5">
                  <c:v>3921</c:v>
                </c:pt>
                <c:pt idx="6">
                  <c:v>22870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总览仪表盘!$J$9</c:f>
              <c:strCache>
                <c:ptCount val="1"/>
                <c:pt idx="0">
                  <c:v>销售数量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总览仪表盘!$H$10:$H$16</c:f>
              <c:numCache>
                <c:formatCode>yyyy\-mm\-dd</c:formatCode>
                <c:ptCount val="7"/>
                <c:pt idx="0" c:formatCode="yyyy\-mm\-dd">
                  <c:v>46166</c:v>
                </c:pt>
                <c:pt idx="1" c:formatCode="yyyy\-mm\-dd">
                  <c:v>46167</c:v>
                </c:pt>
                <c:pt idx="2" c:formatCode="yyyy\-mm\-dd">
                  <c:v>46168</c:v>
                </c:pt>
                <c:pt idx="3" c:formatCode="yyyy\-mm\-dd">
                  <c:v>46169</c:v>
                </c:pt>
                <c:pt idx="4" c:formatCode="yyyy\-mm\-dd">
                  <c:v>46170</c:v>
                </c:pt>
                <c:pt idx="5" c:formatCode="yyyy\-mm\-dd">
                  <c:v>46171</c:v>
                </c:pt>
                <c:pt idx="6" c:formatCode="yyyy\-mm\-dd">
                  <c:v>46172</c:v>
                </c:pt>
              </c:numCache>
            </c:numRef>
          </c:cat>
          <c:val>
            <c:numRef>
              <c:f>总览仪表盘!$J$10:$J$16</c:f>
              <c:numCache>
                <c:formatCode>#,##0</c:formatCode>
                <c:ptCount val="7"/>
                <c:pt idx="0">
                  <c:v>296</c:v>
                </c:pt>
                <c:pt idx="1">
                  <c:v>324</c:v>
                </c:pt>
                <c:pt idx="2">
                  <c:v>1130</c:v>
                </c:pt>
                <c:pt idx="3">
                  <c:v>124</c:v>
                </c:pt>
                <c:pt idx="4">
                  <c:v>53</c:v>
                </c:pt>
                <c:pt idx="5">
                  <c:v>177</c:v>
                </c:pt>
                <c:pt idx="6">
                  <c:v>1423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日期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金额 / 数量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4273ec-474b-45bf-9119-e7e0d6c4d9a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区域库存周转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总览仪表盘!$E$21</c:f>
              <c:strCache>
                <c:ptCount val="1"/>
                <c:pt idx="0">
                  <c:v>周转天数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总览仪表盘!$B$22:$B$26</c:f>
              <c:strCache>
                <c:ptCount val="5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  <c:pt idx="3">
                  <c:v>华中</c:v>
                </c:pt>
                <c:pt idx="4">
                  <c:v>东北</c:v>
                </c:pt>
              </c:strCache>
            </c:strRef>
          </c:cat>
          <c:val>
            <c:numRef>
              <c:f>总览仪表盘!$E$22:$E$26</c:f>
              <c:numCache>
                <c:formatCode>#,##0.0</c:formatCode>
                <c:ptCount val="5"/>
                <c:pt idx="0">
                  <c:v>24.4518167456556</c:v>
                </c:pt>
                <c:pt idx="1">
                  <c:v>28.6239267315398</c:v>
                </c:pt>
                <c:pt idx="2">
                  <c:v>21.3591836734694</c:v>
                </c:pt>
                <c:pt idx="3">
                  <c:v>4.71269730963963</c:v>
                </c:pt>
                <c:pt idx="4">
                  <c:v>513.709677419355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周转天数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大区</a:t>
                </a:r>
              </a:p>
            </c:rich>
          </c:tx>
          <c:layout/>
          <c:overlay val="0"/>
        </c:title>
        <c:numFmt formatCode="#,##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719da3-2ca6-41d2-8361-675833880a4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近7日销售趋势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智能日报看板!$Q$3</c:f>
              <c:strCache>
                <c:ptCount val="1"/>
                <c:pt idx="0">
                  <c:v>销售额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智能日报看板!$P$4:$P$10</c:f>
              <c:numCache>
                <c:formatCode>#,##0.0</c:formatCode>
                <c:ptCount val="7"/>
                <c:pt idx="0" c:formatCode="#,##0.0">
                  <c:v>46166</c:v>
                </c:pt>
                <c:pt idx="1" c:formatCode="#,##0.0">
                  <c:v>46167</c:v>
                </c:pt>
                <c:pt idx="2" c:formatCode="#,##0.0">
                  <c:v>46168</c:v>
                </c:pt>
                <c:pt idx="3" c:formatCode="#,##0.0">
                  <c:v>46169</c:v>
                </c:pt>
                <c:pt idx="4" c:formatCode="#,##0.0">
                  <c:v>46170</c:v>
                </c:pt>
                <c:pt idx="5" c:formatCode="#,##0.0">
                  <c:v>46171</c:v>
                </c:pt>
                <c:pt idx="6" c:formatCode="#,##0.0">
                  <c:v>46172</c:v>
                </c:pt>
              </c:numCache>
            </c:numRef>
          </c:cat>
          <c:val>
            <c:numRef>
              <c:f>智能日报看板!$Q$4:$Q$10</c:f>
              <c:numCache>
                <c:formatCode>#,##0.0</c:formatCode>
                <c:ptCount val="7"/>
                <c:pt idx="0">
                  <c:v>6653</c:v>
                </c:pt>
                <c:pt idx="1">
                  <c:v>7150</c:v>
                </c:pt>
                <c:pt idx="2">
                  <c:v>15635</c:v>
                </c:pt>
                <c:pt idx="3">
                  <c:v>4954</c:v>
                </c:pt>
                <c:pt idx="4">
                  <c:v>1662</c:v>
                </c:pt>
                <c:pt idx="5">
                  <c:v>3921</c:v>
                </c:pt>
                <c:pt idx="6">
                  <c:v>22870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智能日报看板!$R$3</c:f>
              <c:strCache>
                <c:ptCount val="1"/>
                <c:pt idx="0">
                  <c:v>销量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智能日报看板!$P$4:$P$10</c:f>
              <c:numCache>
                <c:formatCode>#,##0.0</c:formatCode>
                <c:ptCount val="7"/>
                <c:pt idx="0" c:formatCode="#,##0.0">
                  <c:v>46166</c:v>
                </c:pt>
                <c:pt idx="1" c:formatCode="#,##0.0">
                  <c:v>46167</c:v>
                </c:pt>
                <c:pt idx="2" c:formatCode="#,##0.0">
                  <c:v>46168</c:v>
                </c:pt>
                <c:pt idx="3" c:formatCode="#,##0.0">
                  <c:v>46169</c:v>
                </c:pt>
                <c:pt idx="4" c:formatCode="#,##0.0">
                  <c:v>46170</c:v>
                </c:pt>
                <c:pt idx="5" c:formatCode="#,##0.0">
                  <c:v>46171</c:v>
                </c:pt>
                <c:pt idx="6" c:formatCode="#,##0.0">
                  <c:v>46172</c:v>
                </c:pt>
              </c:numCache>
            </c:numRef>
          </c:cat>
          <c:val>
            <c:numRef>
              <c:f>智能日报看板!$R$4:$R$10</c:f>
              <c:numCache>
                <c:formatCode>#,##0.0</c:formatCode>
                <c:ptCount val="7"/>
                <c:pt idx="0">
                  <c:v>296</c:v>
                </c:pt>
                <c:pt idx="1">
                  <c:v>324</c:v>
                </c:pt>
                <c:pt idx="2">
                  <c:v>1130</c:v>
                </c:pt>
                <c:pt idx="3">
                  <c:v>124</c:v>
                </c:pt>
                <c:pt idx="4">
                  <c:v>53</c:v>
                </c:pt>
                <c:pt idx="5">
                  <c:v>177</c:v>
                </c:pt>
                <c:pt idx="6">
                  <c:v>1423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金额 / 数量</a:t>
                </a:r>
              </a:p>
            </c:rich>
          </c:tx>
          <c:layout/>
          <c:overlay val="0"/>
        </c:title>
        <c:numFmt formatCode="#,##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f9d856-1929-4318-9339-5e9539981a4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KA系统销售额贡献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智能日报看板!$Q$13</c:f>
              <c:strCache>
                <c:ptCount val="1"/>
                <c:pt idx="0">
                  <c:v>销售额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智能日报看板!$P$14:$P$21</c:f>
              <c:strCache>
                <c:ptCount val="8"/>
                <c:pt idx="0" c:formatCode="#,##0.0">
                  <c:v>大润发</c:v>
                </c:pt>
                <c:pt idx="1" c:formatCode="#,##0.0">
                  <c:v>盒马</c:v>
                </c:pt>
                <c:pt idx="2" c:formatCode="#,##0.0">
                  <c:v>华润</c:v>
                </c:pt>
                <c:pt idx="3" c:formatCode="#,##0.0">
                  <c:v>沃尔玛</c:v>
                </c:pt>
                <c:pt idx="4" c:formatCode="#,##0.0">
                  <c:v>永辉</c:v>
                </c:pt>
                <c:pt idx="5" c:formatCode="#,##0.0">
                  <c:v>天虹</c:v>
                </c:pt>
                <c:pt idx="6" c:formatCode="#,##0.0">
                  <c:v>比优特</c:v>
                </c:pt>
                <c:pt idx="7" c:formatCode="#,##0.0">
                  <c:v>家得福</c:v>
                </c:pt>
              </c:strCache>
            </c:strRef>
          </c:cat>
          <c:val>
            <c:numRef>
              <c:f>智能日报看板!$Q$14:$Q$21</c:f>
              <c:numCache>
                <c:formatCode>#,##0.0</c:formatCode>
                <c:ptCount val="8"/>
                <c:pt idx="0">
                  <c:v>22870</c:v>
                </c:pt>
                <c:pt idx="1">
                  <c:v>22870</c:v>
                </c:pt>
                <c:pt idx="2">
                  <c:v>22870</c:v>
                </c:pt>
                <c:pt idx="3">
                  <c:v>22870</c:v>
                </c:pt>
                <c:pt idx="4">
                  <c:v>22870</c:v>
                </c:pt>
                <c:pt idx="5">
                  <c:v>22870</c:v>
                </c:pt>
                <c:pt idx="6">
                  <c:v>22870</c:v>
                </c:pt>
                <c:pt idx="7">
                  <c:v>22870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销售额</a:t>
                </a:r>
              </a:p>
            </c:rich>
          </c:tx>
          <c:layout/>
          <c:overlay val="0"/>
        </c:title>
        <c:numFmt formatCode="#,##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7b9255-a651-4037-9fae-0413050ec81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渠道销售额占比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Pt>
            <c:idx val="5"/>
            <c:bubble3D val="0"/>
            <c:spPr>
              <a:ln>
                <a:noFill/>
                <a:prstDash val="solid"/>
              </a:ln>
            </c:spPr>
          </c:dPt>
          <c:dPt>
            <c:idx val="6"/>
            <c:bubble3D val="0"/>
            <c:spPr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智能日报看板!$P$26:$P$32</c:f>
              <c:strCache>
                <c:ptCount val="7"/>
                <c:pt idx="0" c:formatCode="#,##0.0">
                  <c:v>POS</c:v>
                </c:pt>
                <c:pt idx="1" c:formatCode="#,##0.0">
                  <c:v>线下</c:v>
                </c:pt>
                <c:pt idx="2" c:formatCode="#,##0.0">
                  <c:v>线上</c:v>
                </c:pt>
                <c:pt idx="3" c:formatCode="#,##0.0">
                  <c:v>京东到家</c:v>
                </c:pt>
                <c:pt idx="4" c:formatCode="#,##0.0">
                  <c:v>美团</c:v>
                </c:pt>
                <c:pt idx="5" c:formatCode="#,##0.0">
                  <c:v>天虹到家</c:v>
                </c:pt>
                <c:pt idx="6" c:formatCode="#,##0.0">
                  <c:v>其他</c:v>
                </c:pt>
              </c:strCache>
            </c:strRef>
          </c:cat>
          <c:val>
            <c:numRef>
              <c:f>智能日报看板!$Q$26:$Q$32</c:f>
              <c:numCache>
                <c:formatCode>#,##0.0</c:formatCode>
                <c:ptCount val="7"/>
                <c:pt idx="0">
                  <c:v>22870</c:v>
                </c:pt>
                <c:pt idx="1">
                  <c:v>22870</c:v>
                </c:pt>
                <c:pt idx="2">
                  <c:v>22870</c:v>
                </c:pt>
                <c:pt idx="3">
                  <c:v>22870</c:v>
                </c:pt>
                <c:pt idx="4">
                  <c:v>22870</c:v>
                </c:pt>
                <c:pt idx="5">
                  <c:v>22870</c:v>
                </c:pt>
                <c:pt idx="6">
                  <c:v>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0b5b77-649a-4b2e-a565-48f5a6e8bfa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区域周转风险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智能日报看板!$Q$36</c:f>
              <c:strCache>
                <c:ptCount val="1"/>
                <c:pt idx="0">
                  <c:v>平均周转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智能日报看板!$P$37:$P$41</c:f>
              <c:strCache>
                <c:ptCount val="5"/>
                <c:pt idx="0" c:formatCode="#,##0.0">
                  <c:v>华东</c:v>
                </c:pt>
                <c:pt idx="1" c:formatCode="#,##0.0">
                  <c:v>华南</c:v>
                </c:pt>
                <c:pt idx="2" c:formatCode="#,##0.0">
                  <c:v>华北</c:v>
                </c:pt>
                <c:pt idx="3" c:formatCode="#,##0.0">
                  <c:v>华中</c:v>
                </c:pt>
                <c:pt idx="4" c:formatCode="#,##0.0">
                  <c:v>东北</c:v>
                </c:pt>
              </c:strCache>
            </c:strRef>
          </c:cat>
          <c:val>
            <c:numRef>
              <c:f>智能日报看板!$Q$37:$Q$41</c:f>
              <c:numCache>
                <c:formatCode>#,##0.0</c:formatCode>
                <c:ptCount val="5"/>
                <c:pt idx="0">
                  <c:v>84.024508620896</c:v>
                </c:pt>
                <c:pt idx="1">
                  <c:v>84.024508620896</c:v>
                </c:pt>
                <c:pt idx="2">
                  <c:v>84.024508620896</c:v>
                </c:pt>
                <c:pt idx="3">
                  <c:v>84.024508620896</c:v>
                </c:pt>
                <c:pt idx="4">
                  <c:v>84.024508620896</c:v>
                </c:pt>
              </c:numCache>
            </c:numRef>
          </c:val>
        </c:ser>
        <c:ser>
          <c:idx val="1"/>
          <c:order val="1"/>
          <c:tx>
            <c:strRef>
              <c:f>智能日报看板!$R$36</c:f>
              <c:strCache>
                <c:ptCount val="1"/>
                <c:pt idx="0">
                  <c:v>超60天门店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智能日报看板!$P$37:$P$41</c:f>
              <c:strCache>
                <c:ptCount val="5"/>
                <c:pt idx="0" c:formatCode="#,##0.0">
                  <c:v>华东</c:v>
                </c:pt>
                <c:pt idx="1" c:formatCode="#,##0.0">
                  <c:v>华南</c:v>
                </c:pt>
                <c:pt idx="2" c:formatCode="#,##0.0">
                  <c:v>华北</c:v>
                </c:pt>
                <c:pt idx="3" c:formatCode="#,##0.0">
                  <c:v>华中</c:v>
                </c:pt>
                <c:pt idx="4" c:formatCode="#,##0.0">
                  <c:v>东北</c:v>
                </c:pt>
              </c:strCache>
            </c:strRef>
          </c:cat>
          <c:val>
            <c:numRef>
              <c:f>智能日报看板!$R$37:$R$41</c:f>
              <c:numCache>
                <c:formatCode>#,##0.0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#,##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362850-0cd7-492f-bc4e-5ad2ff3b783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品项销售额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智能日报看板!$Q$45</c:f>
              <c:strCache>
                <c:ptCount val="1"/>
                <c:pt idx="0">
                  <c:v>销售额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智能日报看板!$P$46:$P$50</c:f>
              <c:strCache>
                <c:ptCount val="5"/>
                <c:pt idx="0">
                  <c:v>无骨鸡爪 柠檬味 158g</c:v>
                </c:pt>
                <c:pt idx="1">
                  <c:v>虎皮凤爪 白松露味</c:v>
                </c:pt>
                <c:pt idx="2">
                  <c:v>无骨鸡爪 柠檬味 158g</c:v>
                </c:pt>
                <c:pt idx="3">
                  <c:v>蒜香无骨鸡爪 230g</c:v>
                </c:pt>
                <c:pt idx="4">
                  <c:v>双椒无骨鸭掌 320g</c:v>
                </c:pt>
              </c:strCache>
            </c:strRef>
          </c:cat>
          <c:val>
            <c:numRef>
              <c:f>智能日报看板!$Q$46:$Q$50</c:f>
              <c:numCache>
                <c:formatCode>General</c:formatCode>
                <c:ptCount val="5"/>
                <c:pt idx="0">
                  <c:v>5235</c:v>
                </c:pt>
                <c:pt idx="1">
                  <c:v>0</c:v>
                </c:pt>
                <c:pt idx="2">
                  <c:v>0</c:v>
                </c:pt>
                <c:pt idx="3">
                  <c:v>14300</c:v>
                </c:pt>
                <c:pt idx="4">
                  <c:v>3335</c:v>
                </c:pt>
              </c:numCache>
            </c:numRef>
          </c:val>
        </c:ser>
        <c:ser>
          <c:idx val="1"/>
          <c:order val="1"/>
          <c:tx>
            <c:strRef>
              <c:f>智能日报看板!$R$45</c:f>
              <c:strCache>
                <c:ptCount val="1"/>
                <c:pt idx="0">
                  <c:v>销量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智能日报看板!$P$46:$P$50</c:f>
              <c:strCache>
                <c:ptCount val="5"/>
                <c:pt idx="0">
                  <c:v>无骨鸡爪 柠檬味 158g</c:v>
                </c:pt>
                <c:pt idx="1">
                  <c:v>虎皮凤爪 白松露味</c:v>
                </c:pt>
                <c:pt idx="2">
                  <c:v>无骨鸡爪 柠檬味 158g</c:v>
                </c:pt>
                <c:pt idx="3">
                  <c:v>蒜香无骨鸡爪 230g</c:v>
                </c:pt>
                <c:pt idx="4">
                  <c:v>双椒无骨鸭掌 320g</c:v>
                </c:pt>
              </c:strCache>
            </c:strRef>
          </c:cat>
          <c:val>
            <c:numRef>
              <c:f>智能日报看板!$R$46:$R$50</c:f>
              <c:numCache>
                <c:formatCode>General</c:formatCode>
                <c:ptCount val="5"/>
                <c:pt idx="0">
                  <c:v>235</c:v>
                </c:pt>
                <c:pt idx="1">
                  <c:v>0</c:v>
                </c:pt>
                <c:pt idx="2">
                  <c:v>0</c:v>
                </c:pt>
                <c:pt idx="3">
                  <c:v>1100</c:v>
                </c:pt>
                <c:pt idx="4">
                  <c:v>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6cbdaf-eb09-41ba-85bd-9e46c258f88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30</xdr:row>
      <xdr:rowOff>0</xdr:rowOff>
    </xdr:from>
    <xdr:ext cx="5040000" cy="2880000"/>
    <xdr:graphicFrame>
      <xdr:nvGraphicFramePr>
        <xdr:cNvPr id="2" name="Chart 1"/>
        <xdr:cNvGraphicFramePr/>
      </xdr:nvGraphicFramePr>
      <xdr:xfrm>
        <a:off x="304800" y="8382000"/>
        <a:ext cx="503999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30</xdr:row>
      <xdr:rowOff>0</xdr:rowOff>
    </xdr:from>
    <xdr:ext cx="5040000" cy="2880000"/>
    <xdr:graphicFrame>
      <xdr:nvGraphicFramePr>
        <xdr:cNvPr id="3" name="Chart 2"/>
        <xdr:cNvGraphicFramePr/>
      </xdr:nvGraphicFramePr>
      <xdr:xfrm>
        <a:off x="6705600" y="8382000"/>
        <a:ext cx="503999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47</xdr:row>
      <xdr:rowOff>0</xdr:rowOff>
    </xdr:from>
    <xdr:ext cx="5040000" cy="2880000"/>
    <xdr:graphicFrame>
      <xdr:nvGraphicFramePr>
        <xdr:cNvPr id="4" name="Chart 3"/>
        <xdr:cNvGraphicFramePr/>
      </xdr:nvGraphicFramePr>
      <xdr:xfrm>
        <a:off x="304800" y="13131800"/>
        <a:ext cx="503999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18</xdr:row>
      <xdr:rowOff>0</xdr:rowOff>
    </xdr:from>
    <xdr:ext cx="5040000" cy="2520000"/>
    <xdr:graphicFrame>
      <xdr:nvGraphicFramePr>
        <xdr:cNvPr id="2" name="Chart 1"/>
        <xdr:cNvGraphicFramePr/>
      </xdr:nvGraphicFramePr>
      <xdr:xfrm>
        <a:off x="304800" y="5029200"/>
        <a:ext cx="503999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18</xdr:row>
      <xdr:rowOff>0</xdr:rowOff>
    </xdr:from>
    <xdr:ext cx="5040000" cy="2520000"/>
    <xdr:graphicFrame>
      <xdr:nvGraphicFramePr>
        <xdr:cNvPr id="3" name="Chart 2"/>
        <xdr:cNvGraphicFramePr/>
      </xdr:nvGraphicFramePr>
      <xdr:xfrm>
        <a:off x="6324600" y="5029200"/>
        <a:ext cx="503999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34</xdr:row>
      <xdr:rowOff>0</xdr:rowOff>
    </xdr:from>
    <xdr:ext cx="5040000" cy="2520000"/>
    <xdr:graphicFrame>
      <xdr:nvGraphicFramePr>
        <xdr:cNvPr id="4" name="Chart 3"/>
        <xdr:cNvGraphicFramePr/>
      </xdr:nvGraphicFramePr>
      <xdr:xfrm>
        <a:off x="304800" y="9499600"/>
        <a:ext cx="503999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34</xdr:row>
      <xdr:rowOff>0</xdr:rowOff>
    </xdr:from>
    <xdr:ext cx="5040000" cy="2520000"/>
    <xdr:graphicFrame>
      <xdr:nvGraphicFramePr>
        <xdr:cNvPr id="5" name="Chart 4"/>
        <xdr:cNvGraphicFramePr/>
      </xdr:nvGraphicFramePr>
      <xdr:xfrm>
        <a:off x="6324600" y="9499600"/>
        <a:ext cx="503999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50</xdr:row>
      <xdr:rowOff>0</xdr:rowOff>
    </xdr:from>
    <xdr:ext cx="5040000" cy="2520000"/>
    <xdr:graphicFrame>
      <xdr:nvGraphicFramePr>
        <xdr:cNvPr id="6" name="Chart 5"/>
        <xdr:cNvGraphicFramePr/>
      </xdr:nvGraphicFramePr>
      <xdr:xfrm>
        <a:off x="304800" y="13970000"/>
        <a:ext cx="503999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blSales" displayName="tblSales" ref="A1:R16">
  <autoFilter xmlns:etc="http://www.wps.cn/officeDocument/2017/etCustomData" ref="A1:R16" etc:filterBottomFollowUsedRange="0"/>
  <tableColumns count="18">
    <tableColumn id="1" name="数据日期"/>
    <tableColumn id="2" name="KA系统"/>
    <tableColumn id="3" name="大区"/>
    <tableColumn id="4" name="省份"/>
    <tableColumn id="5" name="门店编码"/>
    <tableColumn id="6" name="门店名称"/>
    <tableColumn id="7" name="是否DC"/>
    <tableColumn id="8" name="商品编码"/>
    <tableColumn id="9" name="商品条码"/>
    <tableColumn id="10" name="商品名称"/>
    <tableColumn id="11" name="规格"/>
    <tableColumn id="12" name="温层"/>
    <tableColumn id="13" name="渠道"/>
    <tableColumn id="14" name="销售数量"/>
    <tableColumn id="15" name="销售金额"/>
    <tableColumn id="16" name="含税口径"/>
    <tableColumn id="17" name="动销标记"/>
    <tableColumn id="18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Inventory" displayName="tblInventory" ref="A1:P10">
  <autoFilter xmlns:etc="http://www.wps.cn/officeDocument/2017/etCustomData" ref="A1:P10" etc:filterBottomFollowUsedRange="0"/>
  <tableColumns count="16">
    <tableColumn id="1" name="数据日期"/>
    <tableColumn id="2" name="KA系统"/>
    <tableColumn id="3" name="大区"/>
    <tableColumn id="4" name="省份"/>
    <tableColumn id="5" name="门店编码"/>
    <tableColumn id="6" name="门店名称"/>
    <tableColumn id="7" name="是否DC"/>
    <tableColumn id="8" name="商品编码"/>
    <tableColumn id="9" name="商品名称"/>
    <tableColumn id="10" name="门店库存"/>
    <tableColumn id="11" name="DC库存"/>
    <tableColumn id="12" name="在途/待收"/>
    <tableColumn id="13" name="近7日平均销量"/>
    <tableColumn id="14" name="周转天数"/>
    <tableColumn id="15" name="是否超60天"/>
    <tableColumn id="16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hipment" displayName="tblShipment" ref="A1:O5">
  <autoFilter xmlns:etc="http://www.wps.cn/officeDocument/2017/etCustomData" ref="A1:O5" etc:filterBottomFollowUsedRange="0"/>
  <tableColumns count="15">
    <tableColumn id="1" name="数据日期"/>
    <tableColumn id="2" name="KA系统"/>
    <tableColumn id="3" name="大区"/>
    <tableColumn id="4" name="省份"/>
    <tableColumn id="5" name="门店编码"/>
    <tableColumn id="6" name="门店名称"/>
    <tableColumn id="7" name="商品编码"/>
    <tableColumn id="8" name="商品名称"/>
    <tableColumn id="9" name="出货数量"/>
    <tableColumn id="10" name="出货金额"/>
    <tableColumn id="11" name="退货数量"/>
    <tableColumn id="12" name="退货金额"/>
    <tableColumn id="13" name="出货字段来源"/>
    <tableColumn id="14" name="退货字段来源"/>
    <tableColumn id="15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tore" displayName="tblStore" ref="A1:I11">
  <autoFilter xmlns:etc="http://www.wps.cn/officeDocument/2017/etCustomData" ref="A1:I11" etc:filterBottomFollowUsedRange="0"/>
  <tableColumns count="9">
    <tableColumn id="1" name="KA系统"/>
    <tableColumn id="2" name="门店编码"/>
    <tableColumn id="3" name="门店名称"/>
    <tableColumn id="4" name="是否DC"/>
    <tableColumn id="5" name="大区"/>
    <tableColumn id="6" name="省份"/>
    <tableColumn id="7" name="城市"/>
    <tableColumn id="8" name="内外区"/>
    <tableColumn id="9" name="门店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ku" displayName="tblSku" ref="A1:J6">
  <autoFilter xmlns:etc="http://www.wps.cn/officeDocument/2017/etCustomData" ref="A1:J6" etc:filterBottomFollowUsedRange="0"/>
  <tableColumns count="10">
    <tableColumn id="1" name="KA系统"/>
    <tableColumn id="2" name="商品编码"/>
    <tableColumn id="3" name="商品条码"/>
    <tableColumn id="4" name="统一商品名"/>
    <tableColumn id="5" name="系统商品名"/>
    <tableColumn id="6" name="规格"/>
    <tableColumn id="7" name="温层"/>
    <tableColumn id="8" name="口味"/>
    <tableColumn id="9" name="产品线"/>
    <tableColumn id="10" name="是否核心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"/>
  <sheetViews>
    <sheetView showGridLines="0" tabSelected="1" topLeftCell="A31" workbookViewId="0">
      <selection activeCell="M46" sqref="M46"/>
    </sheetView>
  </sheetViews>
  <sheetFormatPr defaultColWidth="9" defaultRowHeight="13.5"/>
  <cols>
    <col min="1" max="1" width="4" customWidth="1"/>
    <col min="2" max="6" width="16" customWidth="1"/>
    <col min="7" max="7" width="4" customWidth="1"/>
    <col min="8" max="12" width="16" customWidth="1"/>
    <col min="13" max="13" width="4" customWidth="1"/>
  </cols>
  <sheetData>
    <row r="1" ht="22" customHeight="1" spans="1:13">
      <c r="A1" s="34" t="s">
        <v>0</v>
      </c>
    </row>
    <row r="2" ht="22" customHeight="1" spans="1:13">
      <c r="A2" s="35" t="s">
        <v>1</v>
      </c>
    </row>
    <row r="3" ht="22" customHeight="1" spans="1:1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ht="22" customHeight="1" spans="1:13">
      <c r="A4" s="8"/>
      <c r="B4" s="36" t="s">
        <v>2</v>
      </c>
      <c r="C4" s="37"/>
      <c r="D4" s="36" t="s">
        <v>3</v>
      </c>
      <c r="E4" s="37"/>
      <c r="F4" s="8"/>
      <c r="G4" s="8"/>
      <c r="H4" s="36" t="s">
        <v>4</v>
      </c>
      <c r="I4" s="37"/>
      <c r="J4" s="36" t="s">
        <v>5</v>
      </c>
      <c r="K4" s="37"/>
      <c r="L4" s="38" t="s">
        <v>6</v>
      </c>
      <c r="M4" s="39"/>
    </row>
    <row r="5" ht="22" customHeight="1" spans="1:13">
      <c r="A5" s="8"/>
      <c r="B5" s="40">
        <f>SUM(销售明细!O2:O500)</f>
        <v>62845</v>
      </c>
      <c r="C5" s="39"/>
      <c r="D5" s="41">
        <f>SUM(销售明细!N2:N500)</f>
        <v>3527</v>
      </c>
      <c r="E5" s="39"/>
      <c r="F5" s="8"/>
      <c r="G5" s="8"/>
      <c r="H5" s="42">
        <f>SUM(库存明细!J2:J500)</f>
        <v>181584</v>
      </c>
      <c r="I5" s="39"/>
      <c r="J5" s="43">
        <f>COUNTIF(库存明细!O2:O500,"Y")</f>
        <v>2</v>
      </c>
      <c r="K5" s="39"/>
      <c r="L5" s="44"/>
      <c r="M5" s="45"/>
    </row>
    <row r="6" ht="22" customHeight="1" spans="1:13">
      <c r="A6" s="8"/>
      <c r="B6" s="46"/>
      <c r="C6" s="47"/>
      <c r="D6" s="46"/>
      <c r="E6" s="47"/>
      <c r="F6" s="8"/>
      <c r="G6" s="8"/>
      <c r="H6" s="46"/>
      <c r="I6" s="47"/>
      <c r="J6" s="46"/>
      <c r="K6" s="47"/>
      <c r="L6" s="46"/>
      <c r="M6" s="47"/>
    </row>
    <row r="7" ht="22" customHeight="1" spans="1:1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ht="22" customHeight="1" spans="1:13">
      <c r="A8" s="8"/>
      <c r="B8" s="48" t="s">
        <v>7</v>
      </c>
      <c r="C8" s="49"/>
      <c r="D8" s="49"/>
      <c r="E8" s="49"/>
      <c r="F8" s="37"/>
      <c r="G8" s="8"/>
      <c r="H8" s="48" t="s">
        <v>8</v>
      </c>
      <c r="I8" s="49"/>
      <c r="J8" s="49"/>
      <c r="K8" s="49"/>
      <c r="L8" s="37"/>
      <c r="M8" s="8"/>
    </row>
    <row r="9" ht="22" customHeight="1" spans="1:13">
      <c r="A9" s="8"/>
      <c r="B9" s="1" t="s">
        <v>9</v>
      </c>
      <c r="C9" s="1" t="s">
        <v>2</v>
      </c>
      <c r="D9" s="1" t="s">
        <v>3</v>
      </c>
      <c r="E9" s="1" t="s">
        <v>10</v>
      </c>
      <c r="F9" s="8"/>
      <c r="G9" s="8"/>
      <c r="H9" s="1" t="s">
        <v>11</v>
      </c>
      <c r="I9" s="1" t="s">
        <v>2</v>
      </c>
      <c r="J9" s="1" t="s">
        <v>3</v>
      </c>
      <c r="K9" s="1" t="s">
        <v>12</v>
      </c>
      <c r="L9" s="8"/>
      <c r="M9" s="8"/>
    </row>
    <row r="10" ht="22" customHeight="1" spans="1:13">
      <c r="A10" s="8"/>
      <c r="B10" s="18" t="s">
        <v>13</v>
      </c>
      <c r="C10" s="50">
        <f>SUMIF(销售明细!B$2:B$500,B10,销售明细!O$2:O$500)</f>
        <v>16659</v>
      </c>
      <c r="D10" s="50">
        <f>SUMIF(销售明细!B$2:B$500,B10,销售明细!N$2:N$500)</f>
        <v>763</v>
      </c>
      <c r="E10" s="51">
        <f t="shared" ref="E10:E17" si="0">IFERROR(C10/SUM($C$10:$C$17),0)</f>
        <v>0.265080754236614</v>
      </c>
      <c r="F10" s="8"/>
      <c r="G10" s="8"/>
      <c r="H10" s="52">
        <v>46166</v>
      </c>
      <c r="I10" s="50">
        <f>SUMIF(销售明细!A$2:A$500,H10,销售明细!O$2:O$500)</f>
        <v>6653</v>
      </c>
      <c r="J10" s="50">
        <f>SUMIF(销售明细!A$2:A$500,H10,销售明细!N$2:N$500)</f>
        <v>296</v>
      </c>
      <c r="K10" s="50">
        <f>COUNTIFS(销售明细!A$2:A$500,H10,销售明细!N$2:N$500,"&gt;0")</f>
        <v>2</v>
      </c>
      <c r="L10" s="8"/>
      <c r="M10" s="8"/>
    </row>
    <row r="11" ht="22" customHeight="1" spans="1:13">
      <c r="A11" s="8"/>
      <c r="B11" s="18" t="s">
        <v>14</v>
      </c>
      <c r="C11" s="50">
        <f>SUMIF(销售明细!B$2:B$500,B11,销售明细!O$2:O$500)</f>
        <v>27040</v>
      </c>
      <c r="D11" s="50">
        <f>SUMIF(销售明细!B$2:B$500,B11,销售明细!N$2:N$500)</f>
        <v>2080</v>
      </c>
      <c r="E11" s="51">
        <f t="shared" si="0"/>
        <v>0.430264937544753</v>
      </c>
      <c r="F11" s="8"/>
      <c r="G11" s="8"/>
      <c r="H11" s="52">
        <v>46167</v>
      </c>
      <c r="I11" s="50">
        <f>SUMIF(销售明细!A$2:A$500,H11,销售明细!O$2:O$500)</f>
        <v>7150</v>
      </c>
      <c r="J11" s="50">
        <f>SUMIF(销售明细!A$2:A$500,H11,销售明细!N$2:N$500)</f>
        <v>324</v>
      </c>
      <c r="K11" s="50">
        <f>COUNTIFS(销售明细!A$2:A$500,H11,销售明细!N$2:N$500,"&gt;0")</f>
        <v>2</v>
      </c>
      <c r="L11" s="8"/>
      <c r="M11" s="8"/>
    </row>
    <row r="12" ht="22" customHeight="1" spans="1:13">
      <c r="A12" s="8"/>
      <c r="B12" s="18" t="s">
        <v>15</v>
      </c>
      <c r="C12" s="50">
        <f>SUMIF(销售明细!B$2:B$500,B12,销售明细!O$2:O$500)</f>
        <v>2895</v>
      </c>
      <c r="D12" s="50">
        <f>SUMIF(销售明细!B$2:B$500,B12,销售明细!N$2:N$500)</f>
        <v>150</v>
      </c>
      <c r="E12" s="51">
        <f t="shared" si="0"/>
        <v>0.0460657172408306</v>
      </c>
      <c r="F12" s="8"/>
      <c r="G12" s="8"/>
      <c r="H12" s="52">
        <v>46168</v>
      </c>
      <c r="I12" s="50">
        <f>SUMIF(销售明细!A$2:A$500,H12,销售明细!O$2:O$500)</f>
        <v>15635</v>
      </c>
      <c r="J12" s="50">
        <f>SUMIF(销售明细!A$2:A$500,H12,销售明细!N$2:N$500)</f>
        <v>1130</v>
      </c>
      <c r="K12" s="50">
        <f>COUNTIFS(销售明细!A$2:A$500,H12,销售明细!N$2:N$500,"&gt;0")</f>
        <v>2</v>
      </c>
      <c r="L12" s="8"/>
      <c r="M12" s="8"/>
    </row>
    <row r="13" ht="22" customHeight="1" spans="1:13">
      <c r="A13" s="8"/>
      <c r="B13" s="18" t="s">
        <v>16</v>
      </c>
      <c r="C13" s="50">
        <f>SUMIF(销售明细!B$2:B$500,B13,销售明细!O$2:O$500)</f>
        <v>6300</v>
      </c>
      <c r="D13" s="50">
        <f>SUMIF(销售明细!B$2:B$500,B13,销售明细!N$2:N$500)</f>
        <v>269</v>
      </c>
      <c r="E13" s="51">
        <f t="shared" si="0"/>
        <v>0.100246638555175</v>
      </c>
      <c r="F13" s="8"/>
      <c r="G13" s="8"/>
      <c r="H13" s="52">
        <v>46169</v>
      </c>
      <c r="I13" s="50">
        <f>SUMIF(销售明细!A$2:A$500,H13,销售明细!O$2:O$500)</f>
        <v>4954</v>
      </c>
      <c r="J13" s="50">
        <f>SUMIF(销售明细!A$2:A$500,H13,销售明细!N$2:N$500)</f>
        <v>124</v>
      </c>
      <c r="K13" s="50">
        <f>COUNTIFS(销售明细!A$2:A$500,H13,销售明细!N$2:N$500,"&gt;0")</f>
        <v>2</v>
      </c>
      <c r="L13" s="8"/>
      <c r="M13" s="8"/>
    </row>
    <row r="14" ht="22" customHeight="1" spans="1:13">
      <c r="A14" s="8"/>
      <c r="B14" s="18" t="s">
        <v>17</v>
      </c>
      <c r="C14" s="50">
        <f>SUMIF(销售明细!B$2:B$500,B14,销售明细!O$2:O$500)</f>
        <v>2225</v>
      </c>
      <c r="D14" s="50">
        <f>SUMIF(销售明细!B$2:B$500,B14,销售明细!N$2:N$500)</f>
        <v>52</v>
      </c>
      <c r="E14" s="51">
        <f t="shared" si="0"/>
        <v>0.035404566791312</v>
      </c>
      <c r="F14" s="8"/>
      <c r="G14" s="8"/>
      <c r="H14" s="52">
        <v>46170</v>
      </c>
      <c r="I14" s="50">
        <f>SUMIF(销售明细!A$2:A$500,H14,销售明细!O$2:O$500)</f>
        <v>1662</v>
      </c>
      <c r="J14" s="50">
        <f>SUMIF(销售明细!A$2:A$500,H14,销售明细!N$2:N$500)</f>
        <v>53</v>
      </c>
      <c r="K14" s="50">
        <f>COUNTIFS(销售明细!A$2:A$500,H14,销售明细!N$2:N$500,"&gt;0")</f>
        <v>2</v>
      </c>
      <c r="L14" s="8"/>
      <c r="M14" s="8"/>
    </row>
    <row r="15" ht="22" customHeight="1" spans="1:13">
      <c r="A15" s="8"/>
      <c r="B15" s="18" t="s">
        <v>18</v>
      </c>
      <c r="C15" s="50">
        <f>SUMIF(销售明细!B$2:B$500,B15,销售明细!O$2:O$500)</f>
        <v>6064</v>
      </c>
      <c r="D15" s="50">
        <f>SUMIF(销售明细!B$2:B$500,B15,销售明细!N$2:N$500)</f>
        <v>160</v>
      </c>
      <c r="E15" s="51">
        <f t="shared" si="0"/>
        <v>0.0964913676505689</v>
      </c>
      <c r="F15" s="8"/>
      <c r="G15" s="8"/>
      <c r="H15" s="52">
        <v>46171</v>
      </c>
      <c r="I15" s="50">
        <f>SUMIF(销售明细!A$2:A$500,H15,销售明细!O$2:O$500)</f>
        <v>3921</v>
      </c>
      <c r="J15" s="50">
        <f>SUMIF(销售明细!A$2:A$500,H15,销售明细!N$2:N$500)</f>
        <v>177</v>
      </c>
      <c r="K15" s="50">
        <f>COUNTIFS(销售明细!A$2:A$500,H15,销售明细!N$2:N$500,"&gt;0")</f>
        <v>2</v>
      </c>
      <c r="L15" s="8"/>
      <c r="M15" s="8"/>
    </row>
    <row r="16" ht="22" customHeight="1" spans="1:13">
      <c r="A16" s="8"/>
      <c r="B16" s="18" t="s">
        <v>19</v>
      </c>
      <c r="C16" s="50">
        <f>SUMIF(销售明细!B$2:B$500,B16,销售明细!O$2:O$500)</f>
        <v>629</v>
      </c>
      <c r="D16" s="50">
        <f>SUMIF(销售明细!B$2:B$500,B16,销售明细!N$2:N$500)</f>
        <v>18</v>
      </c>
      <c r="E16" s="51">
        <f t="shared" si="0"/>
        <v>0.0100087516906675</v>
      </c>
      <c r="F16" s="8"/>
      <c r="G16" s="8"/>
      <c r="H16" s="52">
        <v>46172</v>
      </c>
      <c r="I16" s="50">
        <f>SUMIF(销售明细!A$2:A$500,H16,销售明细!O$2:O$500)</f>
        <v>22870</v>
      </c>
      <c r="J16" s="50">
        <f>SUMIF(销售明细!A$2:A$500,H16,销售明细!N$2:N$500)</f>
        <v>1423</v>
      </c>
      <c r="K16" s="50">
        <f>COUNTIFS(销售明细!A$2:A$500,H16,销售明细!N$2:N$500,"&gt;0")</f>
        <v>3</v>
      </c>
      <c r="L16" s="8"/>
      <c r="M16" s="8"/>
    </row>
    <row r="17" ht="22" customHeight="1" spans="1:13">
      <c r="A17" s="8"/>
      <c r="B17" s="18" t="s">
        <v>20</v>
      </c>
      <c r="C17" s="50">
        <f>SUMIF(销售明细!B$2:B$500,B17,销售明细!O$2:O$500)</f>
        <v>1033</v>
      </c>
      <c r="D17" s="50">
        <f>SUMIF(销售明细!B$2:B$500,B17,销售明细!N$2:N$500)</f>
        <v>35</v>
      </c>
      <c r="E17" s="51">
        <f t="shared" si="0"/>
        <v>0.0164372662900788</v>
      </c>
      <c r="F17" s="8"/>
      <c r="G17" s="8"/>
      <c r="H17" s="8"/>
      <c r="I17" s="8"/>
      <c r="J17" s="8"/>
      <c r="K17" s="8"/>
      <c r="L17" s="8"/>
      <c r="M17" s="8"/>
    </row>
    <row r="18" ht="22" customHeight="1" spans="1:1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ht="22" customHeight="1" spans="1:1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ht="22" customHeight="1" spans="1:13">
      <c r="A20" s="8"/>
      <c r="B20" s="48" t="s">
        <v>21</v>
      </c>
      <c r="C20" s="49"/>
      <c r="D20" s="49"/>
      <c r="E20" s="49"/>
      <c r="F20" s="37"/>
      <c r="G20" s="8"/>
      <c r="H20" s="48" t="s">
        <v>22</v>
      </c>
      <c r="I20" s="49"/>
      <c r="J20" s="49"/>
      <c r="K20" s="49"/>
      <c r="L20" s="37"/>
      <c r="M20" s="8"/>
    </row>
    <row r="21" ht="22" customHeight="1" spans="1:13">
      <c r="A21" s="8"/>
      <c r="B21" s="1" t="s">
        <v>23</v>
      </c>
      <c r="C21" s="1" t="s">
        <v>4</v>
      </c>
      <c r="D21" s="1" t="s">
        <v>24</v>
      </c>
      <c r="E21" s="1" t="s">
        <v>25</v>
      </c>
      <c r="F21" s="1" t="s">
        <v>5</v>
      </c>
      <c r="G21" s="8"/>
      <c r="H21" s="1" t="s">
        <v>9</v>
      </c>
      <c r="I21" s="1" t="s">
        <v>26</v>
      </c>
      <c r="J21" s="1" t="s">
        <v>27</v>
      </c>
      <c r="K21" s="1" t="s">
        <v>28</v>
      </c>
      <c r="L21" s="1" t="s">
        <v>29</v>
      </c>
      <c r="M21" s="8"/>
    </row>
    <row r="22" ht="22" customHeight="1" spans="1:13">
      <c r="A22" s="8"/>
      <c r="B22" s="18" t="s">
        <v>30</v>
      </c>
      <c r="C22" s="20">
        <f>SUMIF(库存明细!C$2:C$500,B22,库存明细!J$2:J$500)</f>
        <v>15478</v>
      </c>
      <c r="D22" s="20">
        <f>SUMIF(库存明细!C$2:C$500,B22,库存明细!M$2:M$500)</f>
        <v>633</v>
      </c>
      <c r="E22" s="20">
        <f>IFERROR(C22/D22,"")</f>
        <v>24.4518167456556</v>
      </c>
      <c r="F22" s="20">
        <f>COUNTIFS(库存明细!C$2:C$500,B22,库存明细!O$2:O$500,"Y")</f>
        <v>0</v>
      </c>
      <c r="G22" s="8"/>
      <c r="H22" s="18" t="s">
        <v>13</v>
      </c>
      <c r="I22" s="50">
        <f>SUMIF(销售明细!B$2:B$500,H22,销售明细!O$2:O$500)</f>
        <v>16659</v>
      </c>
      <c r="J22" s="50">
        <f>SUMIF(出货退货!B$2:B$500,H22,出货退货!J$2:J$500)</f>
        <v>0</v>
      </c>
      <c r="K22" s="50">
        <f t="shared" ref="K22:K29" si="1">J22-I22</f>
        <v>-16659</v>
      </c>
      <c r="L22" s="51">
        <f t="shared" ref="L22:L29" si="2">IFERROR(J22/I22,0)</f>
        <v>0</v>
      </c>
      <c r="M22" s="8"/>
    </row>
    <row r="23" ht="22" customHeight="1" spans="1:13">
      <c r="A23" s="8"/>
      <c r="B23" s="18" t="s">
        <v>31</v>
      </c>
      <c r="C23" s="20">
        <f>SUMIF(库存明细!C$2:C$500,B23,库存明细!J$2:J$500)</f>
        <v>50006</v>
      </c>
      <c r="D23" s="20">
        <f>SUMIF(库存明细!C$2:C$500,B23,库存明细!M$2:M$500)</f>
        <v>1747</v>
      </c>
      <c r="E23" s="20">
        <f>IFERROR(C23/D23,"")</f>
        <v>28.6239267315398</v>
      </c>
      <c r="F23" s="20">
        <f>COUNTIFS(库存明细!C$2:C$500,B23,库存明细!O$2:O$500,"Y")</f>
        <v>1</v>
      </c>
      <c r="G23" s="8"/>
      <c r="H23" s="18" t="s">
        <v>14</v>
      </c>
      <c r="I23" s="50">
        <f>SUMIF(销售明细!B$2:B$500,H23,销售明细!O$2:O$500)</f>
        <v>27040</v>
      </c>
      <c r="J23" s="50">
        <f>SUMIF(出货退货!B$2:B$500,H23,出货退货!J$2:J$500)</f>
        <v>0</v>
      </c>
      <c r="K23" s="50">
        <f t="shared" si="1"/>
        <v>-27040</v>
      </c>
      <c r="L23" s="51">
        <f t="shared" si="2"/>
        <v>0</v>
      </c>
      <c r="M23" s="8"/>
    </row>
    <row r="24" ht="22" customHeight="1" spans="1:13">
      <c r="A24" s="8"/>
      <c r="B24" s="18" t="s">
        <v>32</v>
      </c>
      <c r="C24" s="20">
        <f>SUMIF(库存明细!C$2:C$500,B24,库存明细!J$2:J$500)</f>
        <v>5233</v>
      </c>
      <c r="D24" s="20">
        <f>SUMIF(库存明细!C$2:C$500,B24,库存明细!M$2:M$500)</f>
        <v>245</v>
      </c>
      <c r="E24" s="20">
        <f>IFERROR(C24/D24,"")</f>
        <v>21.3591836734694</v>
      </c>
      <c r="F24" s="20">
        <f>COUNTIFS(库存明细!C$2:C$500,B24,库存明细!O$2:O$500,"Y")</f>
        <v>0</v>
      </c>
      <c r="G24" s="8"/>
      <c r="H24" s="18" t="s">
        <v>15</v>
      </c>
      <c r="I24" s="50">
        <f>SUMIF(销售明细!B$2:B$500,H24,销售明细!O$2:O$500)</f>
        <v>2895</v>
      </c>
      <c r="J24" s="50">
        <f>SUMIF(出货退货!B$2:B$500,H24,出货退货!J$2:J$500)</f>
        <v>0</v>
      </c>
      <c r="K24" s="50">
        <f t="shared" si="1"/>
        <v>-2895</v>
      </c>
      <c r="L24" s="51">
        <f t="shared" si="2"/>
        <v>0</v>
      </c>
      <c r="M24" s="8"/>
    </row>
    <row r="25" ht="22" customHeight="1" spans="1:13">
      <c r="A25" s="8"/>
      <c r="B25" s="18" t="s">
        <v>33</v>
      </c>
      <c r="C25" s="20">
        <f>SUMIF(库存明细!C$2:C$500,B25,库存明细!J$2:J$500)</f>
        <v>94942</v>
      </c>
      <c r="D25" s="20">
        <f>SUMIF(库存明细!C$2:C$500,B25,库存明细!M$2:M$500)</f>
        <v>20146</v>
      </c>
      <c r="E25" s="20">
        <f>IFERROR(C25/D25,"")</f>
        <v>4.71269730963963</v>
      </c>
      <c r="F25" s="20">
        <f>COUNTIFS(库存明细!C$2:C$500,B25,库存明细!O$2:O$500,"Y")</f>
        <v>0</v>
      </c>
      <c r="G25" s="8"/>
      <c r="H25" s="18" t="s">
        <v>16</v>
      </c>
      <c r="I25" s="50">
        <f>SUMIF(销售明细!B$2:B$500,H25,销售明细!O$2:O$500)</f>
        <v>6300</v>
      </c>
      <c r="J25" s="50">
        <f>SUMIF(出货退货!B$2:B$500,H25,出货退货!J$2:J$500)</f>
        <v>0</v>
      </c>
      <c r="K25" s="50">
        <f t="shared" si="1"/>
        <v>-6300</v>
      </c>
      <c r="L25" s="51">
        <f t="shared" si="2"/>
        <v>0</v>
      </c>
      <c r="M25" s="8"/>
    </row>
    <row r="26" ht="22" customHeight="1" spans="1:13">
      <c r="A26" s="8"/>
      <c r="B26" s="18" t="s">
        <v>34</v>
      </c>
      <c r="C26" s="20">
        <f>SUMIF(库存明细!C$2:C$500,B26,库存明细!J$2:J$500)</f>
        <v>15925</v>
      </c>
      <c r="D26" s="20">
        <f>SUMIF(库存明细!C$2:C$500,B26,库存明细!M$2:M$500)</f>
        <v>31</v>
      </c>
      <c r="E26" s="20">
        <f>IFERROR(C26/D26,"")</f>
        <v>513.709677419355</v>
      </c>
      <c r="F26" s="20">
        <f>COUNTIFS(库存明细!C$2:C$500,B26,库存明细!O$2:O$500,"Y")</f>
        <v>1</v>
      </c>
      <c r="G26" s="8"/>
      <c r="H26" s="18" t="s">
        <v>17</v>
      </c>
      <c r="I26" s="50">
        <f>SUMIF(销售明细!B$2:B$500,H26,销售明细!O$2:O$500)</f>
        <v>2225</v>
      </c>
      <c r="J26" s="50">
        <f>SUMIF(出货退货!B$2:B$500,H26,出货退货!J$2:J$500)</f>
        <v>0</v>
      </c>
      <c r="K26" s="50">
        <f t="shared" si="1"/>
        <v>-2225</v>
      </c>
      <c r="L26" s="51">
        <f t="shared" si="2"/>
        <v>0</v>
      </c>
      <c r="M26" s="8"/>
    </row>
    <row r="27" ht="22" customHeight="1" spans="1:13">
      <c r="A27" s="8"/>
      <c r="B27" s="8"/>
      <c r="C27" s="8"/>
      <c r="D27" s="8"/>
      <c r="E27" s="8"/>
      <c r="F27" s="8"/>
      <c r="G27" s="8"/>
      <c r="H27" s="18" t="s">
        <v>18</v>
      </c>
      <c r="I27" s="50">
        <f>SUMIF(销售明细!B$2:B$500,H27,销售明细!O$2:O$500)</f>
        <v>6064</v>
      </c>
      <c r="J27" s="50">
        <f>SUMIF(出货退货!B$2:B$500,H27,出货退货!J$2:J$500)</f>
        <v>0</v>
      </c>
      <c r="K27" s="50">
        <f t="shared" si="1"/>
        <v>-6064</v>
      </c>
      <c r="L27" s="51">
        <f t="shared" si="2"/>
        <v>0</v>
      </c>
      <c r="M27" s="8"/>
    </row>
    <row r="28" ht="22" customHeight="1" spans="1:13">
      <c r="A28" s="8"/>
      <c r="B28" s="8"/>
      <c r="C28" s="8"/>
      <c r="D28" s="8"/>
      <c r="E28" s="8"/>
      <c r="F28" s="8"/>
      <c r="G28" s="8"/>
      <c r="H28" s="18" t="s">
        <v>19</v>
      </c>
      <c r="I28" s="50">
        <f>SUMIF(销售明细!B$2:B$500,H28,销售明细!O$2:O$500)</f>
        <v>629</v>
      </c>
      <c r="J28" s="50">
        <f>SUMIF(出货退货!B$2:B$500,H28,出货退货!J$2:J$500)</f>
        <v>0</v>
      </c>
      <c r="K28" s="50">
        <f t="shared" si="1"/>
        <v>-629</v>
      </c>
      <c r="L28" s="51">
        <f t="shared" si="2"/>
        <v>0</v>
      </c>
      <c r="M28" s="8"/>
    </row>
    <row r="29" ht="22" customHeight="1" spans="1:13">
      <c r="A29" s="8"/>
      <c r="B29" s="8"/>
      <c r="C29" s="8"/>
      <c r="D29" s="8"/>
      <c r="E29" s="8"/>
      <c r="F29" s="8"/>
      <c r="G29" s="8"/>
      <c r="H29" s="18" t="s">
        <v>20</v>
      </c>
      <c r="I29" s="50">
        <f>SUMIF(销售明细!B$2:B$500,H29,销售明细!O$2:O$500)</f>
        <v>1033</v>
      </c>
      <c r="J29" s="50">
        <f>SUMIF(出货退货!B$2:B$500,H29,出货退货!J$2:J$500)</f>
        <v>9050</v>
      </c>
      <c r="K29" s="50">
        <f t="shared" si="1"/>
        <v>8017</v>
      </c>
      <c r="L29" s="51">
        <f t="shared" si="2"/>
        <v>8.76089060987415</v>
      </c>
      <c r="M29" s="8"/>
    </row>
    <row r="30" ht="22" customHeight="1" spans="1:1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ht="22" customHeight="1" spans="1:1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ht="22" customHeight="1" spans="1:1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ht="22" customHeight="1" spans="1:1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ht="22" customHeight="1" spans="1:1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ht="22" customHeight="1" spans="1:1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ht="22" customHeight="1" spans="1:1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ht="22" customHeight="1" spans="1:1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ht="22" customHeight="1" spans="1:1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ht="22" customHeight="1" spans="1:1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ht="22" customHeight="1" spans="1:1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ht="22" customHeight="1" spans="1:1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ht="22" customHeight="1" spans="1:1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ht="22" customHeight="1" spans="1:1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ht="22" customHeight="1" spans="1:1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ht="22" customHeight="1" spans="1:1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ht="22" customHeight="1" spans="1:1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ht="22" customHeight="1" spans="1:1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ht="22" customHeight="1" spans="1:1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ht="22" customHeight="1" spans="1:1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ht="22" customHeight="1" spans="1:1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ht="22" customHeight="1" spans="1:1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ht="22" customHeight="1" spans="1:1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ht="22" customHeight="1" spans="1:1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ht="22" customHeight="1" spans="1:1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ht="22" customHeight="1" spans="1:1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ht="22" customHeight="1" spans="1:1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ht="22" customHeight="1" spans="1:1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ht="22" customHeight="1" spans="1:1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ht="22" customHeight="1" spans="1:1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</sheetData>
  <mergeCells count="15">
    <mergeCell ref="A1:M1"/>
    <mergeCell ref="A2:M2"/>
    <mergeCell ref="B4:C4"/>
    <mergeCell ref="D4:E4"/>
    <mergeCell ref="H4:I4"/>
    <mergeCell ref="J4:K4"/>
    <mergeCell ref="B8:F8"/>
    <mergeCell ref="H8:L8"/>
    <mergeCell ref="B20:F20"/>
    <mergeCell ref="H20:L20"/>
    <mergeCell ref="B5:C6"/>
    <mergeCell ref="D5:E6"/>
    <mergeCell ref="H5:I6"/>
    <mergeCell ref="J5:K6"/>
    <mergeCell ref="L4:M6"/>
  </mergeCells>
  <conditionalFormatting sqref="E22:E26">
    <cfRule type="cellIs" dxfId="0" priority="1" operator="greaterThan">
      <formula>60</formula>
    </cfRule>
    <cfRule type="iconSet" priority="2">
      <iconSet iconSet="3TrafficLights1">
        <cfvo type="num" val="30"/>
        <cfvo type="num" val="60"/>
        <cfvo type="num" val="120"/>
      </iconSet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90"/>
  <sheetViews>
    <sheetView showGridLines="0" topLeftCell="C1" workbookViewId="0">
      <selection activeCell="A1" sqref="A1:L1"/>
    </sheetView>
  </sheetViews>
  <sheetFormatPr defaultColWidth="9" defaultRowHeight="13.5"/>
  <cols>
    <col min="1" max="1" width="4" customWidth="1"/>
    <col min="2" max="6" width="15" customWidth="1"/>
    <col min="7" max="7" width="4" customWidth="1"/>
    <col min="8" max="12" width="15" customWidth="1"/>
    <col min="13" max="14" width="13" customWidth="1"/>
    <col min="15" max="29" width="14" customWidth="1"/>
    <col min="30" max="30" width="13" customWidth="1"/>
  </cols>
  <sheetData>
    <row r="1" ht="22" customHeight="1" spans="1:30">
      <c r="A1" s="7" t="s">
        <v>35</v>
      </c>
      <c r="M1" s="8"/>
      <c r="N1" s="8"/>
      <c r="O1" s="9" t="s">
        <v>36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ht="22" customHeight="1" spans="1:30">
      <c r="A2" s="10" t="s">
        <v>37</v>
      </c>
      <c r="B2" s="11" t="s">
        <v>38</v>
      </c>
      <c r="C2" s="8"/>
      <c r="D2" s="11" t="s">
        <v>9</v>
      </c>
      <c r="E2" s="8"/>
      <c r="F2" s="11" t="s">
        <v>23</v>
      </c>
      <c r="G2" s="8"/>
      <c r="H2" s="11" t="s">
        <v>39</v>
      </c>
      <c r="I2" s="8"/>
      <c r="J2" s="11" t="s">
        <v>40</v>
      </c>
      <c r="K2" s="8"/>
      <c r="L2" s="11" t="s">
        <v>41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22" customHeight="1" spans="1:30">
      <c r="A3" s="8"/>
      <c r="B3" s="12">
        <f>MAX(销售明细!A2:A500)</f>
        <v>46172</v>
      </c>
      <c r="C3" s="8"/>
      <c r="D3" s="13" t="s">
        <v>42</v>
      </c>
      <c r="E3" s="8"/>
      <c r="F3" s="13" t="s">
        <v>42</v>
      </c>
      <c r="G3" s="8"/>
      <c r="H3" s="13" t="s">
        <v>42</v>
      </c>
      <c r="I3" s="8"/>
      <c r="J3" s="13" t="s">
        <v>42</v>
      </c>
      <c r="K3" s="8"/>
      <c r="L3" s="13" t="s">
        <v>42</v>
      </c>
      <c r="M3" s="8"/>
      <c r="N3" s="8"/>
      <c r="O3" s="8"/>
      <c r="P3" s="14" t="s">
        <v>11</v>
      </c>
      <c r="Q3" s="14" t="s">
        <v>43</v>
      </c>
      <c r="R3" s="14" t="s">
        <v>44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ht="22" customHeight="1" spans="1:30">
      <c r="A4" s="15" t="s">
        <v>45</v>
      </c>
      <c r="M4" s="8"/>
      <c r="N4" s="8"/>
      <c r="O4" s="8"/>
      <c r="P4" s="16">
        <f>$B$3-6</f>
        <v>46166</v>
      </c>
      <c r="Q4" s="16">
        <f>SUMPRODUCT((销售明细!$A$2:$A$500=$P$4)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6653</v>
      </c>
      <c r="R4" s="16">
        <f>SUMPRODUCT((销售明细!$A$2:$A$500=$P$4)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296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22" customHeight="1" spans="1:30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6">
        <f>$B$3-5</f>
        <v>46167</v>
      </c>
      <c r="Q5" s="16">
        <f>SUMPRODUCT((销售明细!$A$2:$A$500=$P$5)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7150</v>
      </c>
      <c r="R5" s="16">
        <f>SUMPRODUCT((销售明细!$A$2:$A$500=$P$5)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324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ht="22" customHeight="1" spans="1:30">
      <c r="A6" s="8"/>
      <c r="B6" s="17" t="s">
        <v>43</v>
      </c>
      <c r="C6" s="18"/>
      <c r="D6" s="17" t="s">
        <v>44</v>
      </c>
      <c r="E6" s="18"/>
      <c r="F6" s="17" t="s">
        <v>46</v>
      </c>
      <c r="G6" s="18"/>
      <c r="H6" s="17" t="s">
        <v>47</v>
      </c>
      <c r="I6" s="18"/>
      <c r="J6" s="17" t="s">
        <v>48</v>
      </c>
      <c r="K6" s="18"/>
      <c r="L6" s="17" t="s">
        <v>49</v>
      </c>
      <c r="M6" s="18"/>
      <c r="N6" s="8"/>
      <c r="O6" s="8"/>
      <c r="P6" s="16">
        <f>$B$3-4</f>
        <v>46168</v>
      </c>
      <c r="Q6" s="16">
        <f>SUMPRODUCT((销售明细!$A$2:$A$500=$P$6)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15635</v>
      </c>
      <c r="R6" s="16">
        <f>SUMPRODUCT((销售明细!$A$2:$A$500=$P$6)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1130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22" customHeight="1" spans="1:30">
      <c r="A7" s="8"/>
      <c r="B7" s="19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C7" s="20"/>
      <c r="D7" s="21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E7" s="20"/>
      <c r="F7" s="22">
        <f>IFERROR(SUMPRODUCT((TEXT(销售明细!$A$2:$A$500,"yyyymm")=TEXT($B$3,"yyyymm")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/DAY($B$3),0)</f>
        <v>117.566666666667</v>
      </c>
      <c r="G7" s="20"/>
      <c r="H7" s="23">
        <f>SUMPRODUCT((库存明细!$A$2:$A$500=$B$3)*--((($D$3="全部")+(库存明细!$B$2:$B$500=$D$3))&gt;0)*--((($F$3="全部")+(库存明细!$C$2:$C$500=$F$3))&gt;0)*--((($H$3="全部")+(库存明细!$D$2:$D$500=$H$3))&gt;0)*库存明细!$J$2:$J$500)</f>
        <v>181584</v>
      </c>
      <c r="I7" s="20"/>
      <c r="J7" s="24">
        <f>IFERROR(ROWS(_xlfn.UNIQUE(_xlfn._xlws.FILTER(库存明细!$E$2:$E$500,((库存明细!$A$2:$A$500=$B$3)*--((($D$3="全部")+(库存明细!$B$2:$B$500=$D$3))&gt;0)*--((($F$3="全部")+(库存明细!$C$2:$C$500=$F$3))&gt;0)*--((($H$3="全部")+(库存明细!$D$2:$D$500=$H$3))&gt;0))*(库存明细!$J$2:$J$500&gt;0)))),0)</f>
        <v>8</v>
      </c>
      <c r="K7" s="20"/>
      <c r="L7" s="25">
        <f>IFERROR(ROWS(_xlfn.UNIQUE(_xlfn._xlws.FILTER(销售明细!$E$2:$E$500,((销售明细!$A$2:$A$500=$B$3)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)*(销售明细!$N$2:$N$500&gt;0)))),0)</f>
        <v>3</v>
      </c>
      <c r="M7" s="20"/>
      <c r="N7" s="8"/>
      <c r="O7" s="8"/>
      <c r="P7" s="16">
        <f>$B$3-3</f>
        <v>46169</v>
      </c>
      <c r="Q7" s="16">
        <f>SUMPRODUCT((销售明细!$A$2:$A$500=$P$7)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4954</v>
      </c>
      <c r="R7" s="16">
        <f>SUMPRODUCT((销售明细!$A$2:$A$500=$P$7)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124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22" customHeight="1" spans="1:30">
      <c r="A8" s="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8"/>
      <c r="O8" s="8"/>
      <c r="P8" s="16">
        <f>$B$3-2</f>
        <v>46170</v>
      </c>
      <c r="Q8" s="16">
        <f>SUMPRODUCT((销售明细!$A$2:$A$500=$P$8)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1662</v>
      </c>
      <c r="R8" s="16">
        <f>SUMPRODUCT((销售明细!$A$2:$A$500=$P$8)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53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22" customHeight="1" spans="1:30">
      <c r="A9" s="8"/>
      <c r="B9" s="26" t="str">
        <f>IFERROR("环比昨日"&amp;IF(B7/SUMPRODUCT((销售明细!$A$2:$A$500=$B$3-1)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-1&gt;=0,"↑","↓")&amp;TEXT(ABS(B7/SUMPRODUCT((销售明细!$A$2:$A$500=$B$3-1)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-1),"0.0%"),"环比昨日-")</f>
        <v>环比昨日↑483.3%</v>
      </c>
      <c r="C9" s="18"/>
      <c r="D9" s="26" t="str">
        <f>IFERROR("环比昨日"&amp;IF(D7/SUMPRODUCT((销售明细!$A$2:$A$500=$B$3-1)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-1&gt;=0,"↑","↓")&amp;TEXT(ABS(D7/SUMPRODUCT((销售明细!$A$2:$A$500=$B$3-1)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-1),"0.0%"),"环比昨日-")</f>
        <v>环比昨日↑704.0%</v>
      </c>
      <c r="E9" s="18"/>
      <c r="F9" s="26" t="s">
        <v>50</v>
      </c>
      <c r="G9" s="18"/>
      <c r="H9" s="26" t="str">
        <f>IFERROR("环比昨日"&amp;IF(H7/SUMPRODUCT((库存明细!$A$2:$A$500=$B$3-1)*--((($D$3="全部")+(库存明细!$B$2:$B$500=$D$3))&gt;0)*--((($F$3="全部")+(库存明细!$C$2:$C$500=$F$3))&gt;0)*--((($H$3="全部")+(库存明细!$D$2:$D$500=$H$3))&gt;0)*库存明细!$J$2:$J$500)-1&gt;=0,"↑","↓")&amp;TEXT(ABS(H7/SUMPRODUCT((库存明细!$A$2:$A$500=$B$3-1)*--((($D$3="全部")+(库存明细!$B$2:$B$500=$D$3))&gt;0)*--((($F$3="全部")+(库存明细!$C$2:$C$500=$F$3))&gt;0)*--((($H$3="全部")+(库存明细!$D$2:$D$500=$H$3))&gt;0)*库存明细!$J$2:$J$500)-1),"0.0%"),"环比昨日-")</f>
        <v>环比昨日-</v>
      </c>
      <c r="I9" s="18"/>
      <c r="J9" s="26" t="s">
        <v>50</v>
      </c>
      <c r="K9" s="18"/>
      <c r="L9" s="26" t="s">
        <v>50</v>
      </c>
      <c r="M9" s="18"/>
      <c r="N9" s="8"/>
      <c r="O9" s="8"/>
      <c r="P9" s="16">
        <f>$B$3-1</f>
        <v>46171</v>
      </c>
      <c r="Q9" s="16">
        <f>SUMPRODUCT((销售明细!$A$2:$A$500=$P$9)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3921</v>
      </c>
      <c r="R9" s="16">
        <f>SUMPRODUCT((销售明细!$A$2:$A$500=$P$9)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177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22" customHeight="1" spans="1:3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16">
        <f>$B$3-0</f>
        <v>46172</v>
      </c>
      <c r="Q10" s="16">
        <f>SUMPRODUCT((销售明细!$A$2:$A$500=$P$10)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10" s="16">
        <f>SUMPRODUCT((销售明细!$A$2:$A$500=$P$10)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22" customHeight="1" spans="1:30">
      <c r="A11" s="8"/>
      <c r="B11" s="27" t="s">
        <v>51</v>
      </c>
      <c r="C11" s="18"/>
      <c r="D11" s="18"/>
      <c r="E11" s="18"/>
      <c r="F11" s="18"/>
      <c r="G11" s="8"/>
      <c r="H11" s="27" t="s">
        <v>52</v>
      </c>
      <c r="I11" s="18"/>
      <c r="J11" s="18"/>
      <c r="K11" s="18"/>
      <c r="L11" s="18"/>
      <c r="M11" s="1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22" customHeight="1" spans="1:30">
      <c r="A12" s="8"/>
      <c r="B12" s="28" t="s">
        <v>53</v>
      </c>
      <c r="C12" s="28" t="s">
        <v>3</v>
      </c>
      <c r="D12" s="28" t="s">
        <v>2</v>
      </c>
      <c r="E12" s="28" t="s">
        <v>54</v>
      </c>
      <c r="F12" s="28" t="s">
        <v>25</v>
      </c>
      <c r="G12" s="8"/>
      <c r="H12" s="28" t="s">
        <v>55</v>
      </c>
      <c r="I12" s="28" t="s">
        <v>56</v>
      </c>
      <c r="J12" s="28" t="s">
        <v>57</v>
      </c>
      <c r="K12" s="18"/>
      <c r="L12" s="18"/>
      <c r="M12" s="1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22" customHeight="1" spans="1:30">
      <c r="A13" s="8"/>
      <c r="B13" s="29" t="str">
        <f>IFERROR(INDEX($Y$44:$Y$53,MATCH(LARGE($AA$44:$AA$53,ROWS($B$13:B13)),$AA$44:$AA$53,0)),"")</f>
        <v>武汉珞狮路店</v>
      </c>
      <c r="C13" s="30">
        <f>IFERROR(INDEX($Z$44:$Z$53,MATCH(B13,$Y$44:$Y$53,0)),0)</f>
        <v>1100</v>
      </c>
      <c r="D13" s="30">
        <f>IFERROR(INDEX($AA$44:$AA$53,MATCH(B13,$Y$44:$Y$53,0)),0)</f>
        <v>14300</v>
      </c>
      <c r="E13" s="30">
        <f>IFERROR(INDEX($AB$44:$AB$53,MATCH(B13,$Y$44:$Y$53,0)),0)</f>
        <v>94942</v>
      </c>
      <c r="F13" s="29">
        <f>IFERROR(INDEX($AC$44:$AC$53,MATCH(B13,$Y$44:$Y$53,0)),"")</f>
        <v>86.3109090909091</v>
      </c>
      <c r="G13" s="8"/>
      <c r="H13" s="29" t="s">
        <v>29</v>
      </c>
      <c r="I13" s="29" t="str">
        <f>IFERROR(IF($J$24/$I$24&lt;0.8,"偏低","正常"),"缺数据")</f>
        <v>缺数据</v>
      </c>
      <c r="J13" s="29" t="s">
        <v>58</v>
      </c>
      <c r="K13" s="18"/>
      <c r="L13" s="18"/>
      <c r="M13" s="18"/>
      <c r="N13" s="8"/>
      <c r="O13" s="8"/>
      <c r="P13" s="14" t="s">
        <v>9</v>
      </c>
      <c r="Q13" s="14" t="s">
        <v>43</v>
      </c>
      <c r="R13" s="14" t="s">
        <v>44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22" customHeight="1" spans="1:30">
      <c r="A14" s="8"/>
      <c r="B14" s="29" t="str">
        <f>IFERROR(INDEX($Y$44:$Y$53,MATCH(LARGE($AA$44:$AA$53,ROWS($B$13:B14)),$AA$44:$AA$53,0)),"")</f>
        <v>闸北店</v>
      </c>
      <c r="C14" s="30">
        <f>IFERROR(INDEX($Z$44:$Z$53,MATCH(B14,$Y$44:$Y$53,0)),0)</f>
        <v>235</v>
      </c>
      <c r="D14" s="30">
        <f>IFERROR(INDEX($AA$44:$AA$53,MATCH(B14,$Y$44:$Y$53,0)),0)</f>
        <v>5235</v>
      </c>
      <c r="E14" s="30">
        <f>IFERROR(INDEX($AB$44:$AB$53,MATCH(B14,$Y$44:$Y$53,0)),0)</f>
        <v>15089</v>
      </c>
      <c r="F14" s="29">
        <f>IFERROR(INDEX($AC$44:$AC$53,MATCH(B14,$Y$44:$Y$53,0)),"")</f>
        <v>64.2085106382979</v>
      </c>
      <c r="G14" s="8"/>
      <c r="H14" s="29" t="s">
        <v>59</v>
      </c>
      <c r="I14" s="29" t="str">
        <f>IFERROR(IF($L$24&gt;0.05,"偏高","正常"),"缺数据")</f>
        <v>正常</v>
      </c>
      <c r="J14" s="29" t="s">
        <v>60</v>
      </c>
      <c r="K14" s="18"/>
      <c r="L14" s="18"/>
      <c r="M14" s="18"/>
      <c r="N14" s="8"/>
      <c r="O14" s="8"/>
      <c r="P14" s="16" t="s">
        <v>13</v>
      </c>
      <c r="Q14" s="16">
        <f>SUMPRODUCT((销售明细!$A$2:$A$500=$B$3)*--((销售明细!$B$2:$B$500=P14)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14" s="16">
        <f>SUMPRODUCT((销售明细!$A$2:$A$500=$B$3)*--((销售明细!$B$2:$B$500=P14)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22" customHeight="1" spans="1:30">
      <c r="A15" s="8"/>
      <c r="B15" s="29" t="str">
        <f>IFERROR(INDEX($Y$44:$Y$53,MATCH(LARGE($AA$44:$AA$53,ROWS($B$13:B15)),$AA$44:$AA$53,0)),"")</f>
        <v>深圳创业天虹</v>
      </c>
      <c r="C15" s="30">
        <f>IFERROR(INDEX($Z$44:$Z$53,MATCH(B15,$Y$44:$Y$53,0)),0)</f>
        <v>88</v>
      </c>
      <c r="D15" s="30">
        <f>IFERROR(INDEX($AA$44:$AA$53,MATCH(B15,$Y$44:$Y$53,0)),0)</f>
        <v>3335</v>
      </c>
      <c r="E15" s="30">
        <f>IFERROR(INDEX($AB$44:$AB$53,MATCH(B15,$Y$44:$Y$53,0)),0)</f>
        <v>5444</v>
      </c>
      <c r="F15" s="29">
        <f>IFERROR(INDEX($AC$44:$AC$53,MATCH(B15,$Y$44:$Y$53,0)),"")</f>
        <v>61.8636363636364</v>
      </c>
      <c r="G15" s="8"/>
      <c r="H15" s="29" t="s">
        <v>61</v>
      </c>
      <c r="I15" s="29" t="str">
        <f>IF($K$7&gt;0,"存在超60天门店","正常")</f>
        <v>正常</v>
      </c>
      <c r="J15" s="29" t="s">
        <v>62</v>
      </c>
      <c r="K15" s="18"/>
      <c r="L15" s="18"/>
      <c r="M15" s="18"/>
      <c r="N15" s="8"/>
      <c r="O15" s="8"/>
      <c r="P15" s="16" t="s">
        <v>14</v>
      </c>
      <c r="Q15" s="16">
        <f>SUMPRODUCT((销售明细!$A$2:$A$500=$B$3)*--((销售明细!$B$2:$B$500=P15)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15" s="16">
        <f>SUMPRODUCT((销售明细!$A$2:$A$500=$B$3)*--((销售明细!$B$2:$B$500=P15)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22" customHeight="1" spans="1:30">
      <c r="A16" s="8"/>
      <c r="B16" s="29" t="str">
        <f>IFERROR(INDEX($Y$44:$Y$53,MATCH(LARGE($AA$44:$AA$53,ROWS($B$13:B16)),$AA$44:$AA$53,0)),"")</f>
        <v>杨浦店</v>
      </c>
      <c r="C16" s="30">
        <f>IFERROR(INDEX($Z$44:$Z$53,MATCH(B16,$Y$44:$Y$53,0)),0)</f>
        <v>0</v>
      </c>
      <c r="D16" s="30">
        <f>IFERROR(INDEX($AA$44:$AA$53,MATCH(B16,$Y$44:$Y$53,0)),0)</f>
        <v>0</v>
      </c>
      <c r="E16" s="30">
        <f>IFERROR(INDEX($AB$44:$AB$53,MATCH(B16,$Y$44:$Y$53,0)),0)</f>
        <v>0</v>
      </c>
      <c r="F16" s="29" t="str">
        <f>IFERROR(INDEX($AC$44:$AC$53,MATCH(B16,$Y$44:$Y$53,0)),"")</f>
        <v/>
      </c>
      <c r="G16" s="8"/>
      <c r="H16" s="29" t="s">
        <v>63</v>
      </c>
      <c r="I16" s="29" t="str">
        <f>IF(COUNTBLANK(销售明细!A2:O500)&gt;200,"待补字段","可用")</f>
        <v>待补字段</v>
      </c>
      <c r="J16" s="29" t="s">
        <v>64</v>
      </c>
      <c r="K16" s="18"/>
      <c r="L16" s="18"/>
      <c r="M16" s="18"/>
      <c r="N16" s="8"/>
      <c r="O16" s="8"/>
      <c r="P16" s="16" t="s">
        <v>15</v>
      </c>
      <c r="Q16" s="16">
        <f>SUMPRODUCT((销售明细!$A$2:$A$500=$B$3)*--((销售明细!$B$2:$B$500=P16)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16" s="16">
        <f>SUMPRODUCT((销售明细!$A$2:$A$500=$B$3)*--((销售明细!$B$2:$B$500=P16)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22" customHeight="1" spans="1:30">
      <c r="A17" s="8"/>
      <c r="B17" s="29" t="str">
        <f>IFERROR(INDEX($Y$44:$Y$53,MATCH(LARGE($AA$44:$AA$53,ROWS($B$13:B17)),$AA$44:$AA$53,0)),"")</f>
        <v>杨浦店</v>
      </c>
      <c r="C17" s="30">
        <f>IFERROR(INDEX($Z$44:$Z$53,MATCH(B17,$Y$44:$Y$53,0)),0)</f>
        <v>0</v>
      </c>
      <c r="D17" s="30">
        <f>IFERROR(INDEX($AA$44:$AA$53,MATCH(B17,$Y$44:$Y$53,0)),0)</f>
        <v>0</v>
      </c>
      <c r="E17" s="30">
        <f>IFERROR(INDEX($AB$44:$AB$53,MATCH(B17,$Y$44:$Y$53,0)),0)</f>
        <v>0</v>
      </c>
      <c r="F17" s="29" t="str">
        <f>IFERROR(INDEX($AC$44:$AC$53,MATCH(B17,$Y$44:$Y$53,0)),"")</f>
        <v/>
      </c>
      <c r="G17" s="8"/>
      <c r="H17" s="8"/>
      <c r="I17" s="8"/>
      <c r="J17" s="8"/>
      <c r="K17" s="8"/>
      <c r="L17" s="8"/>
      <c r="M17" s="8"/>
      <c r="N17" s="8"/>
      <c r="O17" s="8"/>
      <c r="P17" s="16" t="s">
        <v>16</v>
      </c>
      <c r="Q17" s="16">
        <f>SUMPRODUCT((销售明细!$A$2:$A$500=$B$3)*--((销售明细!$B$2:$B$500=P17)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17" s="16">
        <f>SUMPRODUCT((销售明细!$A$2:$A$500=$B$3)*--((销售明细!$B$2:$B$500=P17)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22" customHeight="1" spans="1:30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6" t="s">
        <v>17</v>
      </c>
      <c r="Q18" s="16">
        <f>SUMPRODUCT((销售明细!$A$2:$A$500=$B$3)*--((销售明细!$B$2:$B$500=P18)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18" s="16">
        <f>SUMPRODUCT((销售明细!$A$2:$A$500=$B$3)*--((销售明细!$B$2:$B$500=P18)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22" customHeight="1" spans="1:30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16" t="s">
        <v>18</v>
      </c>
      <c r="Q19" s="16">
        <f>SUMPRODUCT((销售明细!$A$2:$A$500=$B$3)*--((销售明细!$B$2:$B$500=P19)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19" s="16">
        <f>SUMPRODUCT((销售明细!$A$2:$A$500=$B$3)*--((销售明细!$B$2:$B$500=P19)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22" customHeight="1" spans="1:3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6" t="s">
        <v>19</v>
      </c>
      <c r="Q20" s="16">
        <f>SUMPRODUCT((销售明细!$A$2:$A$500=$B$3)*--((销售明细!$B$2:$B$500=P20)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20" s="16">
        <f>SUMPRODUCT((销售明细!$A$2:$A$500=$B$3)*--((销售明细!$B$2:$B$500=P20)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22" customHeight="1" spans="1:30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6" t="s">
        <v>20</v>
      </c>
      <c r="Q21" s="16">
        <f>SUMPRODUCT((销售明细!$A$2:$A$500=$B$3)*--((销售明细!$B$2:$B$500=P21)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R21" s="16">
        <f>SUMPRODUCT((销售明细!$A$2:$A$500=$B$3)*--((销售明细!$B$2:$B$500=P21)&gt;0)*--((($F$3="全部")+(销售明细!$C$2:$C$500=$F$3))&gt;0)*--((($H$3="全部")+(销售明细!$D$2:$D$500=$H$3))&gt;0)*--((($J$3="全部")+(销售明细!$L$2:$L$500=$J$3))&gt;0)*--((($L$3="全部")+(销售明细!$M$2:$M$500=$L$3))&gt;0)*销售明细!$N$2:$N$500)</f>
        <v>1423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22" customHeight="1" spans="1:30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1"/>
      <c r="Q22" s="31"/>
      <c r="R22" s="31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22" customHeight="1" spans="1:30">
      <c r="A23" s="8"/>
      <c r="B23" s="8"/>
      <c r="C23" s="8"/>
      <c r="D23" s="8"/>
      <c r="E23" s="8"/>
      <c r="F23" s="8"/>
      <c r="G23" s="8"/>
      <c r="H23" s="14" t="s">
        <v>26</v>
      </c>
      <c r="I23" s="14" t="s">
        <v>27</v>
      </c>
      <c r="J23" s="14" t="s">
        <v>65</v>
      </c>
      <c r="K23" s="14" t="s">
        <v>59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22" customHeight="1" spans="1:30">
      <c r="A24" s="8"/>
      <c r="B24" s="8"/>
      <c r="C24" s="8"/>
      <c r="D24" s="8"/>
      <c r="E24" s="8"/>
      <c r="F24" s="8"/>
      <c r="G24" s="8"/>
      <c r="H24" s="32" t="s">
        <v>66</v>
      </c>
      <c r="I24" s="32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($L$3="全部")+(销售明细!$M$2:$M$500=$L$3))&gt;0)*销售明细!$O$2:$O$500)</f>
        <v>22870</v>
      </c>
      <c r="J24" s="32" t="e">
        <f>SUMPRODUCT((出货退货!$A$2:$A$500=$B$3)*--((($D$3="全部")+(出货退货!$B$2:$B$500=$D$3))&gt;0)*--((($F$3="全部")+(出货退货!$C$2:$C$500=$F$3))&gt;0)*--((($H$3="全部")+(出货退货!$D$2:$D$500=$H$3))&gt;0)*出货退货!$J$2:$J$500)</f>
        <v>#VALUE!</v>
      </c>
      <c r="K24" s="32" t="e">
        <f>SUMPRODUCT((出货退货!$A$2:$A$500=$B$3)*--((($D$3="全部")+(出货退货!$B$2:$B$500=$D$3))&gt;0)*--((($F$3="全部")+(出货退货!$C$2:$C$500=$F$3))&gt;0)*--((($H$3="全部")+(出货退货!$D$2:$D$500=$H$3))&gt;0)*出货退货!$L$2:$L$500)</f>
        <v>#VALUE!</v>
      </c>
      <c r="L24" s="33">
        <f>IFERROR(K24/J24,0)</f>
        <v>0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22" customHeight="1" spans="1:30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4" t="s">
        <v>41</v>
      </c>
      <c r="Q25" s="14" t="s">
        <v>43</v>
      </c>
      <c r="R25" s="14" t="s">
        <v>10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22" customHeight="1" spans="1:30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6" t="s">
        <v>67</v>
      </c>
      <c r="Q26" s="16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销售明细!$M$2:$M$500=P26)&gt;0)*销售明细!$O$2:$O$500)</f>
        <v>22870</v>
      </c>
      <c r="R26" s="16">
        <f t="shared" ref="R26:R32" si="0">IFERROR(Q26/SUM($Q$26:$Q$32),0)</f>
        <v>0.166666666666667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22" customHeight="1" spans="1:30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6" t="s">
        <v>68</v>
      </c>
      <c r="Q27" s="16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销售明细!$M$2:$M$500=P27)&gt;0)*销售明细!$O$2:$O$500)</f>
        <v>22870</v>
      </c>
      <c r="R27" s="16">
        <f t="shared" si="0"/>
        <v>0.166666666666667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22" customHeight="1" spans="1:30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6" t="s">
        <v>69</v>
      </c>
      <c r="Q28" s="16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销售明细!$M$2:$M$500=P28)&gt;0)*销售明细!$O$2:$O$500)</f>
        <v>22870</v>
      </c>
      <c r="R28" s="16">
        <f t="shared" si="0"/>
        <v>0.166666666666667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22" customHeight="1" spans="1:30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6" t="s">
        <v>70</v>
      </c>
      <c r="Q29" s="16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销售明细!$M$2:$M$500=P29)&gt;0)*销售明细!$O$2:$O$500)</f>
        <v>22870</v>
      </c>
      <c r="R29" s="16">
        <f t="shared" si="0"/>
        <v>0.166666666666667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22" customHeight="1" spans="1: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6" t="s">
        <v>71</v>
      </c>
      <c r="Q30" s="16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销售明细!$M$2:$M$500=P30)&gt;0)*销售明细!$O$2:$O$500)</f>
        <v>22870</v>
      </c>
      <c r="R30" s="16">
        <f t="shared" si="0"/>
        <v>0.166666666666667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22" customHeight="1" spans="1:30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6" t="s">
        <v>72</v>
      </c>
      <c r="Q31" s="16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(销售明细!$M$2:$M$500=P31)&gt;0)*销售明细!$O$2:$O$500)</f>
        <v>22870</v>
      </c>
      <c r="R31" s="16">
        <f t="shared" si="0"/>
        <v>0.166666666666667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22" customHeight="1" spans="1:30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16" t="s">
        <v>73</v>
      </c>
      <c r="Q32" s="16">
        <f>SUMPRODUCT((销售明细!$A$2:$A$500=$B$3)*--((($D$3="全部")+(销售明细!$B$2:$B$500=$D$3))&gt;0)*--((($F$3="全部")+(销售明细!$C$2:$C$500=$F$3))&gt;0)*--((($H$3="全部")+(销售明细!$D$2:$D$500=$H$3))&gt;0)*--((($J$3="全部")+(销售明细!$L$2:$L$500=$J$3))&gt;0)*--(ISNA(MATCH(销售明细!$M$2:$M$500,{"POS","线下","线上","京东到家","美团","天虹到家"},0)))*销售明细!$O$2:$O$500)</f>
        <v>0</v>
      </c>
      <c r="R32" s="16">
        <f t="shared" si="0"/>
        <v>0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22" customHeight="1" spans="1:30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31"/>
      <c r="Q33" s="31"/>
      <c r="R33" s="31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22" customHeight="1" spans="1:30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22" customHeight="1" spans="1:30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22" customHeight="1" spans="1:30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14" t="s">
        <v>23</v>
      </c>
      <c r="Q36" s="14" t="s">
        <v>74</v>
      </c>
      <c r="R36" s="14" t="s">
        <v>5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22" customHeight="1" spans="1:30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16" t="s">
        <v>30</v>
      </c>
      <c r="Q37" s="16">
        <f>IFERROR(SUMPRODUCT((库存明细!$A$2:$A$500=$B$3)*--((库存明细!$C$2:$C$500=P37)&gt;0)*--((($D$3="全部")+(库存明细!$B$2:$B$500=$D$3))&gt;0)*--((($H$3="全部")+(库存明细!$D$2:$D$500=$H$3))&gt;0)*库存明细!$N$2:$N$500)/SUMPRODUCT((库存明细!$A$2:$A$500=$B$3)*--((库存明细!$C$2:$C$500=P37)&gt;0)*--((($D$3="全部")+(库存明细!$B$2:$B$500=$D$3))&gt;0)*--((($H$3="全部")+(库存明细!$D$2:$D$500=$H$3))&gt;0)*--(库存明细!$N$2:$N$500&lt;&gt;"")),0)</f>
        <v>84.024508620896</v>
      </c>
      <c r="R37" s="16">
        <f>COUNTIFS(库存明细!$A$2:$A$500,$B$3,库存明细!$C$2:$C$500,P37,库存明细!$O$2:$O$500,"Y")</f>
        <v>0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22" customHeight="1" spans="1:30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16" t="s">
        <v>31</v>
      </c>
      <c r="Q38" s="16">
        <f>IFERROR(SUMPRODUCT((库存明细!$A$2:$A$500=$B$3)*--((库存明细!$C$2:$C$500=P38)&gt;0)*--((($D$3="全部")+(库存明细!$B$2:$B$500=$D$3))&gt;0)*--((($H$3="全部")+(库存明细!$D$2:$D$500=$H$3))&gt;0)*库存明细!$N$2:$N$500)/SUMPRODUCT((库存明细!$A$2:$A$500=$B$3)*--((库存明细!$C$2:$C$500=P38)&gt;0)*--((($D$3="全部")+(库存明细!$B$2:$B$500=$D$3))&gt;0)*--((($H$3="全部")+(库存明细!$D$2:$D$500=$H$3))&gt;0)*--(库存明细!$N$2:$N$500&lt;&gt;"")),0)</f>
        <v>84.024508620896</v>
      </c>
      <c r="R38" s="16">
        <f>COUNTIFS(库存明细!$A$2:$A$500,$B$3,库存明细!$C$2:$C$500,P38,库存明细!$O$2:$O$500,"Y")</f>
        <v>1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22" customHeight="1" spans="1:30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16" t="s">
        <v>32</v>
      </c>
      <c r="Q39" s="16">
        <f>IFERROR(SUMPRODUCT((库存明细!$A$2:$A$500=$B$3)*--((库存明细!$C$2:$C$500=P39)&gt;0)*--((($D$3="全部")+(库存明细!$B$2:$B$500=$D$3))&gt;0)*--((($H$3="全部")+(库存明细!$D$2:$D$500=$H$3))&gt;0)*库存明细!$N$2:$N$500)/SUMPRODUCT((库存明细!$A$2:$A$500=$B$3)*--((库存明细!$C$2:$C$500=P39)&gt;0)*--((($D$3="全部")+(库存明细!$B$2:$B$500=$D$3))&gt;0)*--((($H$3="全部")+(库存明细!$D$2:$D$500=$H$3))&gt;0)*--(库存明细!$N$2:$N$500&lt;&gt;"")),0)</f>
        <v>84.024508620896</v>
      </c>
      <c r="R39" s="16">
        <f>COUNTIFS(库存明细!$A$2:$A$500,$B$3,库存明细!$C$2:$C$500,P39,库存明细!$O$2:$O$500,"Y")</f>
        <v>0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22" customHeight="1" spans="1:3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16" t="s">
        <v>33</v>
      </c>
      <c r="Q40" s="16">
        <f>IFERROR(SUMPRODUCT((库存明细!$A$2:$A$500=$B$3)*--((库存明细!$C$2:$C$500=P40)&gt;0)*--((($D$3="全部")+(库存明细!$B$2:$B$500=$D$3))&gt;0)*--((($H$3="全部")+(库存明细!$D$2:$D$500=$H$3))&gt;0)*库存明细!$N$2:$N$500)/SUMPRODUCT((库存明细!$A$2:$A$500=$B$3)*--((库存明细!$C$2:$C$500=P40)&gt;0)*--((($D$3="全部")+(库存明细!$B$2:$B$500=$D$3))&gt;0)*--((($H$3="全部")+(库存明细!$D$2:$D$500=$H$3))&gt;0)*--(库存明细!$N$2:$N$500&lt;&gt;"")),0)</f>
        <v>84.024508620896</v>
      </c>
      <c r="R40" s="16">
        <f>COUNTIFS(库存明细!$A$2:$A$500,$B$3,库存明细!$C$2:$C$500,P40,库存明细!$O$2:$O$500,"Y")</f>
        <v>0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22" customHeight="1" spans="1:30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16" t="s">
        <v>34</v>
      </c>
      <c r="Q41" s="16">
        <f>IFERROR(SUMPRODUCT((库存明细!$A$2:$A$500=$B$3)*--((库存明细!$C$2:$C$500=P41)&gt;0)*--((($D$3="全部")+(库存明细!$B$2:$B$500=$D$3))&gt;0)*--((($H$3="全部")+(库存明细!$D$2:$D$500=$H$3))&gt;0)*库存明细!$N$2:$N$500)/SUMPRODUCT((库存明细!$A$2:$A$500=$B$3)*--((库存明细!$C$2:$C$500=P41)&gt;0)*--((($D$3="全部")+(库存明细!$B$2:$B$500=$D$3))&gt;0)*--((($H$3="全部")+(库存明细!$D$2:$D$500=$H$3))&gt;0)*--(库存明细!$N$2:$N$500&lt;&gt;"")),0)</f>
        <v>84.024508620896</v>
      </c>
      <c r="R41" s="16">
        <f>COUNTIFS(库存明细!$A$2:$A$500,$B$3,库存明细!$C$2:$C$500,P41,库存明细!$O$2:$O$500,"Y")</f>
        <v>1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22" customHeight="1" spans="1:30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31"/>
      <c r="Q42" s="31"/>
      <c r="R42" s="31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22" customHeight="1" spans="1:30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14" t="s">
        <v>53</v>
      </c>
      <c r="Z43" s="14" t="s">
        <v>3</v>
      </c>
      <c r="AA43" s="14" t="s">
        <v>2</v>
      </c>
      <c r="AB43" s="14" t="s">
        <v>54</v>
      </c>
      <c r="AC43" s="14" t="s">
        <v>25</v>
      </c>
      <c r="AD43" s="8"/>
    </row>
    <row r="44" ht="22" customHeight="1" spans="1:30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16" t="str">
        <f>门店维表!C2</f>
        <v>闸北店</v>
      </c>
      <c r="Z44" s="16">
        <f>SUMIFS(销售明细!$N$2:$N$500,销售明细!$A$2:$A$500,$B$3,销售明细!$F$2:$F$500,Y44)</f>
        <v>235</v>
      </c>
      <c r="AA44" s="16">
        <f>SUMIFS(销售明细!$O$2:$O$500,销售明细!$A$2:$A$500,$B$3,销售明细!$F$2:$F$500,Y44)</f>
        <v>5235</v>
      </c>
      <c r="AB44" s="16">
        <f>SUMIFS(库存明细!$J$2:$J$500,库存明细!$A$2:$A$500,$B$3,库存明细!$F$2:$F$500,Y44)</f>
        <v>15089</v>
      </c>
      <c r="AC44" s="16">
        <f t="shared" ref="AC44:AC53" si="1">IFERROR(AB44/Z44,"")</f>
        <v>64.2085106382979</v>
      </c>
      <c r="AD44" s="8"/>
    </row>
    <row r="45" ht="22" customHeight="1" spans="1:30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14" t="s">
        <v>75</v>
      </c>
      <c r="Q45" s="14" t="s">
        <v>43</v>
      </c>
      <c r="R45" s="14" t="s">
        <v>44</v>
      </c>
      <c r="S45" s="8"/>
      <c r="T45" s="8"/>
      <c r="U45" s="8"/>
      <c r="V45" s="8"/>
      <c r="W45" s="8"/>
      <c r="X45" s="8"/>
      <c r="Y45" s="16" t="str">
        <f>门店维表!C3</f>
        <v>杨浦店</v>
      </c>
      <c r="Z45" s="16">
        <f>SUMIFS(销售明细!$N$2:$N$500,销售明细!$A$2:$A$500,$B$3,销售明细!$F$2:$F$500,Y45)</f>
        <v>0</v>
      </c>
      <c r="AA45" s="16">
        <f>SUMIFS(销售明细!$O$2:$O$500,销售明细!$A$2:$A$500,$B$3,销售明细!$F$2:$F$500,Y45)</f>
        <v>0</v>
      </c>
      <c r="AB45" s="16">
        <f>SUMIFS(库存明细!$J$2:$J$500,库存明细!$A$2:$A$500,$B$3,库存明细!$F$2:$F$500,Y45)</f>
        <v>0</v>
      </c>
      <c r="AC45" s="16" t="str">
        <f t="shared" si="1"/>
        <v/>
      </c>
      <c r="AD45" s="8"/>
    </row>
    <row r="46" ht="22" customHeight="1" spans="1:30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32" t="str">
        <f>商品维表!D2</f>
        <v>无骨鸡爪 柠檬味 158g</v>
      </c>
      <c r="Q46" s="32">
        <f>SUMIFS(销售明细!$O$2:$O$500,销售明细!$A$2:$A$500,$B$3,销售明细!$H$2:$H$500,商品维表!B2)</f>
        <v>5235</v>
      </c>
      <c r="R46" s="32">
        <f>SUMIFS(销售明细!$N$2:$N$500,销售明细!$A$2:$A$500,$B$3,销售明细!$H$2:$H$500,商品维表!B2)</f>
        <v>235</v>
      </c>
      <c r="S46" s="8"/>
      <c r="T46" s="8"/>
      <c r="U46" s="8"/>
      <c r="V46" s="8"/>
      <c r="W46" s="8"/>
      <c r="X46" s="8"/>
      <c r="Y46" s="16" t="str">
        <f>门店维表!C4</f>
        <v>广州天河店</v>
      </c>
      <c r="Z46" s="16">
        <f>SUMIFS(销售明细!$N$2:$N$500,销售明细!$A$2:$A$500,$B$3,销售明细!$F$2:$F$500,Y46)</f>
        <v>0</v>
      </c>
      <c r="AA46" s="16">
        <f>SUMIFS(销售明细!$O$2:$O$500,销售明细!$A$2:$A$500,$B$3,销售明细!$F$2:$F$500,Y46)</f>
        <v>0</v>
      </c>
      <c r="AB46" s="16">
        <f>SUMIFS(库存明细!$J$2:$J$500,库存明细!$A$2:$A$500,$B$3,库存明细!$F$2:$F$500,Y46)</f>
        <v>13619</v>
      </c>
      <c r="AC46" s="16" t="str">
        <f t="shared" si="1"/>
        <v/>
      </c>
      <c r="AD46" s="8"/>
    </row>
    <row r="47" ht="22" customHeight="1" spans="1:30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32" t="str">
        <f>商品维表!D3</f>
        <v>虎皮凤爪 白松露味</v>
      </c>
      <c r="Q47" s="32">
        <f>SUMIFS(销售明细!$O$2:$O$500,销售明细!$A$2:$A$500,$B$3,销售明细!$H$2:$H$500,商品维表!B3)</f>
        <v>0</v>
      </c>
      <c r="R47" s="32">
        <f>SUMIFS(销售明细!$N$2:$N$500,销售明细!$A$2:$A$500,$B$3,销售明细!$H$2:$H$500,商品维表!B3)</f>
        <v>0</v>
      </c>
      <c r="S47" s="8"/>
      <c r="T47" s="8"/>
      <c r="U47" s="8"/>
      <c r="V47" s="8"/>
      <c r="W47" s="8"/>
      <c r="X47" s="8"/>
      <c r="Y47" s="16" t="str">
        <f>门店维表!C5</f>
        <v>沃尔玛广州天河店</v>
      </c>
      <c r="Z47" s="16">
        <f>SUMIFS(销售明细!$N$2:$N$500,销售明细!$A$2:$A$500,$B$3,销售明细!$F$2:$F$500,Y47)</f>
        <v>0</v>
      </c>
      <c r="AA47" s="16">
        <f>SUMIFS(销售明细!$O$2:$O$500,销售明细!$A$2:$A$500,$B$3,销售明细!$F$2:$F$500,Y47)</f>
        <v>0</v>
      </c>
      <c r="AB47" s="16">
        <f>SUMIFS(库存明细!$J$2:$J$500,库存明细!$A$2:$A$500,$B$3,库存明细!$F$2:$F$500,Y47)</f>
        <v>30943</v>
      </c>
      <c r="AC47" s="16" t="str">
        <f t="shared" si="1"/>
        <v/>
      </c>
      <c r="AD47" s="8"/>
    </row>
    <row r="48" ht="22" customHeight="1" spans="1:30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32" t="str">
        <f>商品维表!D4</f>
        <v>无骨鸡爪 柠檬味 158g</v>
      </c>
      <c r="Q48" s="32">
        <f>SUMIFS(销售明细!$O$2:$O$500,销售明细!$A$2:$A$500,$B$3,销售明细!$H$2:$H$500,商品维表!B4)</f>
        <v>0</v>
      </c>
      <c r="R48" s="32">
        <f>SUMIFS(销售明细!$N$2:$N$500,销售明细!$A$2:$A$500,$B$3,销售明细!$H$2:$H$500,商品维表!B4)</f>
        <v>0</v>
      </c>
      <c r="S48" s="8"/>
      <c r="T48" s="8"/>
      <c r="U48" s="8"/>
      <c r="V48" s="8"/>
      <c r="W48" s="8"/>
      <c r="X48" s="8"/>
      <c r="Y48" s="16" t="str">
        <f>门店维表!C6</f>
        <v>皇姑店</v>
      </c>
      <c r="Z48" s="16">
        <f>SUMIFS(销售明细!$N$2:$N$500,销售明细!$A$2:$A$500,$B$3,销售明细!$F$2:$F$500,Y48)</f>
        <v>0</v>
      </c>
      <c r="AA48" s="16">
        <f>SUMIFS(销售明细!$O$2:$O$500,销售明细!$A$2:$A$500,$B$3,销售明细!$F$2:$F$500,Y48)</f>
        <v>0</v>
      </c>
      <c r="AB48" s="16">
        <f>SUMIFS(库存明细!$J$2:$J$500,库存明细!$A$2:$A$500,$B$3,库存明细!$F$2:$F$500,Y48)</f>
        <v>5233</v>
      </c>
      <c r="AC48" s="16" t="str">
        <f t="shared" si="1"/>
        <v/>
      </c>
      <c r="AD48" s="8"/>
    </row>
    <row r="49" ht="22" customHeight="1" spans="1:30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32" t="str">
        <f>商品维表!D5</f>
        <v>蒜香无骨鸡爪 230g</v>
      </c>
      <c r="Q49" s="32">
        <f>SUMIFS(销售明细!$O$2:$O$500,销售明细!$A$2:$A$500,$B$3,销售明细!$H$2:$H$500,商品维表!B5)</f>
        <v>14300</v>
      </c>
      <c r="R49" s="32">
        <f>SUMIFS(销售明细!$N$2:$N$500,销售明细!$A$2:$A$500,$B$3,销售明细!$H$2:$H$500,商品维表!B5)</f>
        <v>1100</v>
      </c>
      <c r="S49" s="8"/>
      <c r="T49" s="8"/>
      <c r="U49" s="8"/>
      <c r="V49" s="8"/>
      <c r="W49" s="8"/>
      <c r="X49" s="8"/>
      <c r="Y49" s="16" t="str">
        <f>门店维表!C7</f>
        <v>武汉珞狮路店</v>
      </c>
      <c r="Z49" s="16">
        <f>SUMIFS(销售明细!$N$2:$N$500,销售明细!$A$2:$A$500,$B$3,销售明细!$F$2:$F$500,Y49)</f>
        <v>1100</v>
      </c>
      <c r="AA49" s="16">
        <f>SUMIFS(销售明细!$O$2:$O$500,销售明细!$A$2:$A$500,$B$3,销售明细!$F$2:$F$500,Y49)</f>
        <v>14300</v>
      </c>
      <c r="AB49" s="16">
        <f>SUMIFS(库存明细!$J$2:$J$500,库存明细!$A$2:$A$500,$B$3,库存明细!$F$2:$F$500,Y49)</f>
        <v>94942</v>
      </c>
      <c r="AC49" s="16">
        <f t="shared" si="1"/>
        <v>86.3109090909091</v>
      </c>
      <c r="AD49" s="8"/>
    </row>
    <row r="50" ht="22" customHeight="1" spans="1:3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32" t="str">
        <f>商品维表!D6</f>
        <v>双椒无骨鸭掌 320g</v>
      </c>
      <c r="Q50" s="32">
        <f>SUMIFS(销售明细!$O$2:$O$500,销售明细!$A$2:$A$500,$B$3,销售明细!$H$2:$H$500,商品维表!B6)</f>
        <v>3335</v>
      </c>
      <c r="R50" s="32">
        <f>SUMIFS(销售明细!$N$2:$N$500,销售明细!$A$2:$A$500,$B$3,销售明细!$H$2:$H$500,商品维表!B6)</f>
        <v>88</v>
      </c>
      <c r="S50" s="8"/>
      <c r="T50" s="8"/>
      <c r="U50" s="8"/>
      <c r="V50" s="8"/>
      <c r="W50" s="8"/>
      <c r="X50" s="8"/>
      <c r="Y50" s="16" t="str">
        <f>门店维表!C8</f>
        <v>滨江区龙湖天街店</v>
      </c>
      <c r="Z50" s="16">
        <f>SUMIFS(销售明细!$N$2:$N$500,销售明细!$A$2:$A$500,$B$3,销售明细!$F$2:$F$500,Y50)</f>
        <v>0</v>
      </c>
      <c r="AA50" s="16">
        <f>SUMIFS(销售明细!$O$2:$O$500,销售明细!$A$2:$A$500,$B$3,销售明细!$F$2:$F$500,Y50)</f>
        <v>0</v>
      </c>
      <c r="AB50" s="16">
        <f>SUMIFS(库存明细!$J$2:$J$500,库存明细!$A$2:$A$500,$B$3,库存明细!$F$2:$F$500,Y50)</f>
        <v>74</v>
      </c>
      <c r="AC50" s="16" t="str">
        <f t="shared" si="1"/>
        <v/>
      </c>
      <c r="AD50" s="8"/>
    </row>
    <row r="51" ht="22" customHeight="1" spans="1:30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16" t="str">
        <f>门店维表!C9</f>
        <v>深圳创业天虹</v>
      </c>
      <c r="Z51" s="16">
        <f>SUMIFS(销售明细!$N$2:$N$500,销售明细!$A$2:$A$500,$B$3,销售明细!$F$2:$F$500,Y51)</f>
        <v>88</v>
      </c>
      <c r="AA51" s="16">
        <f>SUMIFS(销售明细!$O$2:$O$500,销售明细!$A$2:$A$500,$B$3,销售明细!$F$2:$F$500,Y51)</f>
        <v>3335</v>
      </c>
      <c r="AB51" s="16">
        <f>SUMIFS(库存明细!$J$2:$J$500,库存明细!$A$2:$A$500,$B$3,库存明细!$F$2:$F$500,Y51)</f>
        <v>5444</v>
      </c>
      <c r="AC51" s="16">
        <f t="shared" si="1"/>
        <v>61.8636363636364</v>
      </c>
      <c r="AD51" s="8"/>
    </row>
    <row r="52" ht="22" customHeight="1" spans="1:30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16" t="str">
        <f>门店维表!C10</f>
        <v>麓林山店</v>
      </c>
      <c r="Z52" s="16">
        <f>SUMIFS(销售明细!$N$2:$N$500,销售明细!$A$2:$A$500,$B$3,销售明细!$F$2:$F$500,Y52)</f>
        <v>0</v>
      </c>
      <c r="AA52" s="16">
        <f>SUMIFS(销售明细!$O$2:$O$500,销售明细!$A$2:$A$500,$B$3,销售明细!$F$2:$F$500,Y52)</f>
        <v>0</v>
      </c>
      <c r="AB52" s="16">
        <f>SUMIFS(库存明细!$J$2:$J$500,库存明细!$A$2:$A$500,$B$3,库存明细!$F$2:$F$500,Y52)</f>
        <v>15925</v>
      </c>
      <c r="AC52" s="16" t="str">
        <f t="shared" si="1"/>
        <v/>
      </c>
      <c r="AD52" s="8"/>
    </row>
    <row r="53" ht="22" customHeight="1" spans="1:30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16" t="str">
        <f>门店维表!C11</f>
        <v>家得福海棠店</v>
      </c>
      <c r="Z53" s="16">
        <f>SUMIFS(销售明细!$N$2:$N$500,销售明细!$A$2:$A$500,$B$3,销售明细!$F$2:$F$500,Y53)</f>
        <v>0</v>
      </c>
      <c r="AA53" s="16">
        <f>SUMIFS(销售明细!$O$2:$O$500,销售明细!$A$2:$A$500,$B$3,销售明细!$F$2:$F$500,Y53)</f>
        <v>0</v>
      </c>
      <c r="AB53" s="16">
        <f>SUMIFS(库存明细!$J$2:$J$500,库存明细!$A$2:$A$500,$B$3,库存明细!$F$2:$F$500,Y53)</f>
        <v>315</v>
      </c>
      <c r="AC53" s="16" t="str">
        <f t="shared" si="1"/>
        <v/>
      </c>
      <c r="AD53" s="8"/>
    </row>
    <row r="54" ht="22" customHeight="1" spans="1:30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22" customHeight="1" spans="1:30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22" customHeight="1" spans="1:30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22" customHeight="1" spans="1:30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22" customHeight="1" spans="1:30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22" customHeight="1" spans="1:30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22" customHeight="1" spans="1:3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22" customHeight="1" spans="1:30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22" customHeight="1" spans="1:30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22" customHeight="1" spans="1:30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22" customHeight="1" spans="1:30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22" customHeight="1" spans="1:30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22" customHeight="1" spans="1:30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22" customHeight="1" spans="1:30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22" customHeight="1" spans="1:30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22" customHeight="1" spans="1:30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22" customHeight="1" spans="1:3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22" customHeight="1" spans="1:30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22" customHeight="1" spans="1:30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22" customHeight="1" spans="1:30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22" customHeight="1" spans="1:30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22" customHeight="1" spans="1:30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22" customHeight="1" spans="1:30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22" customHeight="1" spans="1:30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22" customHeight="1" spans="1:30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22" customHeight="1" spans="1:30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22" customHeight="1" spans="1:3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22" customHeight="1" spans="1:30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22" customHeight="1" spans="1:30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22" customHeight="1" spans="1:30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22" customHeight="1" spans="1:30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22" customHeight="1" spans="1:30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22" customHeight="1" spans="1:30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22" customHeight="1" spans="1:30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22" customHeight="1" spans="1:30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22" customHeight="1" spans="1:30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</sheetData>
  <mergeCells count="4">
    <mergeCell ref="A1:L1"/>
    <mergeCell ref="A4:L4"/>
    <mergeCell ref="B11:F11"/>
    <mergeCell ref="H11:M11"/>
  </mergeCells>
  <conditionalFormatting sqref="F13:F17">
    <cfRule type="cellIs" dxfId="0" priority="1" operator="greaterThan">
      <formula>60</formula>
    </cfRule>
    <cfRule type="iconSet" priority="2">
      <iconSet iconSet="3TrafficLights1">
        <cfvo type="num" val="30"/>
        <cfvo type="num" val="60"/>
        <cfvo type="num" val="120"/>
      </iconSet>
    </cfRule>
  </conditionalFormatting>
  <dataValidations count="5">
    <dataValidation type="list" sqref="D3">
      <formula1>"全部,大润发,盒马,华润,沃尔玛,永辉,天虹,比优特,家得福"</formula1>
    </dataValidation>
    <dataValidation type="list" sqref="F3">
      <formula1>"全部,华东,华南,华北,华中,西北,东北"</formula1>
    </dataValidation>
    <dataValidation type="list" sqref="H3">
      <formula1>"全部,上海,江苏,广东,北京,湖北,浙江,黑龙江,天津"</formula1>
    </dataValidation>
    <dataValidation type="list" sqref="J3">
      <formula1>"全部,常温,冷藏"</formula1>
    </dataValidation>
    <dataValidation type="list" sqref="L3">
      <formula1>"全部,POS,线下,线上,京东到家,美团,天虹到家"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2" width="12" customWidth="1"/>
    <col min="3" max="4" width="10" customWidth="1"/>
    <col min="5" max="5" width="12" customWidth="1"/>
    <col min="6" max="6" width="24" customWidth="1"/>
    <col min="7" max="7" width="9" customWidth="1"/>
    <col min="8" max="8" width="14" customWidth="1"/>
    <col min="9" max="9" width="16" customWidth="1"/>
    <col min="10" max="10" width="32" customWidth="1"/>
    <col min="11" max="11" width="12" customWidth="1"/>
    <col min="12" max="12" width="10" customWidth="1"/>
    <col min="13" max="14" width="12" customWidth="1"/>
    <col min="15" max="15" width="14" customWidth="1"/>
    <col min="16" max="17" width="10" customWidth="1"/>
    <col min="18" max="18" width="20" customWidth="1"/>
  </cols>
  <sheetData>
    <row r="1" spans="1:18">
      <c r="A1" s="1" t="s">
        <v>76</v>
      </c>
      <c r="B1" s="1" t="s">
        <v>9</v>
      </c>
      <c r="C1" s="1" t="s">
        <v>23</v>
      </c>
      <c r="D1" s="1" t="s">
        <v>39</v>
      </c>
      <c r="E1" s="1" t="s">
        <v>77</v>
      </c>
      <c r="F1" s="1" t="s">
        <v>53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40</v>
      </c>
      <c r="M1" s="1" t="s">
        <v>41</v>
      </c>
      <c r="N1" s="1" t="s">
        <v>3</v>
      </c>
      <c r="O1" s="1" t="s">
        <v>2</v>
      </c>
      <c r="P1" s="1" t="s">
        <v>83</v>
      </c>
      <c r="Q1" s="1" t="s">
        <v>84</v>
      </c>
      <c r="R1" s="1" t="s">
        <v>85</v>
      </c>
    </row>
    <row r="2" spans="1:18">
      <c r="A2" s="4">
        <v>46166</v>
      </c>
      <c r="B2" s="3" t="s">
        <v>13</v>
      </c>
      <c r="C2" s="3" t="s">
        <v>30</v>
      </c>
      <c r="D2" s="3" t="s">
        <v>86</v>
      </c>
      <c r="E2" s="3" t="s">
        <v>87</v>
      </c>
      <c r="F2" s="3" t="s">
        <v>88</v>
      </c>
      <c r="G2" s="3" t="s">
        <v>89</v>
      </c>
      <c r="H2" s="3" t="s">
        <v>90</v>
      </c>
      <c r="I2" s="3" t="s">
        <v>91</v>
      </c>
      <c r="J2" s="3" t="s">
        <v>92</v>
      </c>
      <c r="K2" s="3" t="s">
        <v>93</v>
      </c>
      <c r="L2" s="3" t="s">
        <v>94</v>
      </c>
      <c r="M2" s="3" t="s">
        <v>68</v>
      </c>
      <c r="N2" s="6">
        <v>210</v>
      </c>
      <c r="O2" s="6">
        <v>4675</v>
      </c>
      <c r="P2" s="3" t="s">
        <v>95</v>
      </c>
      <c r="Q2" s="3" t="s">
        <v>96</v>
      </c>
      <c r="R2" s="3" t="s">
        <v>50</v>
      </c>
    </row>
    <row r="3" spans="1:18">
      <c r="A3" s="4">
        <v>46166</v>
      </c>
      <c r="B3" s="3" t="s">
        <v>13</v>
      </c>
      <c r="C3" s="3" t="s">
        <v>30</v>
      </c>
      <c r="D3" s="3" t="s">
        <v>97</v>
      </c>
      <c r="E3" s="3" t="s">
        <v>98</v>
      </c>
      <c r="F3" s="3" t="s">
        <v>99</v>
      </c>
      <c r="G3" s="3" t="s">
        <v>89</v>
      </c>
      <c r="H3" s="3" t="s">
        <v>100</v>
      </c>
      <c r="I3" s="3" t="s">
        <v>101</v>
      </c>
      <c r="J3" s="3" t="s">
        <v>102</v>
      </c>
      <c r="K3" s="3" t="s">
        <v>93</v>
      </c>
      <c r="L3" s="3" t="s">
        <v>94</v>
      </c>
      <c r="M3" s="3" t="s">
        <v>70</v>
      </c>
      <c r="N3" s="6">
        <v>86</v>
      </c>
      <c r="O3" s="6">
        <v>1978</v>
      </c>
      <c r="P3" s="3" t="s">
        <v>95</v>
      </c>
      <c r="Q3" s="3" t="s">
        <v>96</v>
      </c>
      <c r="R3" s="3" t="s">
        <v>50</v>
      </c>
    </row>
    <row r="4" spans="1:18">
      <c r="A4" s="4">
        <v>46167</v>
      </c>
      <c r="B4" s="3" t="s">
        <v>13</v>
      </c>
      <c r="C4" s="3" t="s">
        <v>31</v>
      </c>
      <c r="D4" s="3" t="s">
        <v>103</v>
      </c>
      <c r="E4" s="3" t="s">
        <v>104</v>
      </c>
      <c r="F4" s="3" t="s">
        <v>105</v>
      </c>
      <c r="G4" s="3" t="s">
        <v>89</v>
      </c>
      <c r="H4" s="3" t="s">
        <v>106</v>
      </c>
      <c r="I4" s="3" t="s">
        <v>107</v>
      </c>
      <c r="J4" s="3" t="s">
        <v>108</v>
      </c>
      <c r="K4" s="3" t="s">
        <v>109</v>
      </c>
      <c r="L4" s="3" t="s">
        <v>110</v>
      </c>
      <c r="M4" s="3" t="s">
        <v>71</v>
      </c>
      <c r="N4" s="6">
        <v>134</v>
      </c>
      <c r="O4" s="6">
        <v>3350</v>
      </c>
      <c r="P4" s="3" t="s">
        <v>95</v>
      </c>
      <c r="Q4" s="3" t="s">
        <v>96</v>
      </c>
      <c r="R4" s="3" t="s">
        <v>50</v>
      </c>
    </row>
    <row r="5" spans="1:18">
      <c r="A5" s="4">
        <v>46167</v>
      </c>
      <c r="B5" s="3" t="s">
        <v>16</v>
      </c>
      <c r="C5" s="3" t="s">
        <v>31</v>
      </c>
      <c r="D5" s="3" t="s">
        <v>103</v>
      </c>
      <c r="E5" s="3" t="s">
        <v>111</v>
      </c>
      <c r="F5" s="3" t="s">
        <v>112</v>
      </c>
      <c r="G5" s="3" t="s">
        <v>89</v>
      </c>
      <c r="H5" s="3" t="s">
        <v>113</v>
      </c>
      <c r="I5" s="3" t="s">
        <v>114</v>
      </c>
      <c r="J5" s="3" t="s">
        <v>115</v>
      </c>
      <c r="K5" s="3" t="s">
        <v>93</v>
      </c>
      <c r="L5" s="3" t="s">
        <v>94</v>
      </c>
      <c r="M5" s="3" t="s">
        <v>67</v>
      </c>
      <c r="N5" s="6">
        <v>190</v>
      </c>
      <c r="O5" s="6">
        <v>3800</v>
      </c>
      <c r="P5" s="3" t="s">
        <v>116</v>
      </c>
      <c r="Q5" s="3" t="s">
        <v>96</v>
      </c>
      <c r="R5" s="3" t="s">
        <v>50</v>
      </c>
    </row>
    <row r="6" spans="1:18">
      <c r="A6" s="4">
        <v>46168</v>
      </c>
      <c r="B6" s="3" t="s">
        <v>15</v>
      </c>
      <c r="C6" s="3" t="s">
        <v>32</v>
      </c>
      <c r="D6" s="3" t="s">
        <v>117</v>
      </c>
      <c r="E6" s="3" t="s">
        <v>118</v>
      </c>
      <c r="F6" s="3" t="s">
        <v>119</v>
      </c>
      <c r="G6" s="3" t="s">
        <v>89</v>
      </c>
      <c r="H6" s="3" t="s">
        <v>120</v>
      </c>
      <c r="I6" s="3" t="s">
        <v>121</v>
      </c>
      <c r="J6" s="3" t="s">
        <v>122</v>
      </c>
      <c r="K6" s="3" t="s">
        <v>93</v>
      </c>
      <c r="L6" s="3" t="s">
        <v>94</v>
      </c>
      <c r="M6" s="3" t="s">
        <v>68</v>
      </c>
      <c r="N6" s="6">
        <v>150</v>
      </c>
      <c r="O6" s="6">
        <v>2895</v>
      </c>
      <c r="P6" s="3" t="s">
        <v>95</v>
      </c>
      <c r="Q6" s="3" t="s">
        <v>96</v>
      </c>
      <c r="R6" s="3" t="s">
        <v>50</v>
      </c>
    </row>
    <row r="7" spans="1:18">
      <c r="A7" s="4">
        <v>46168</v>
      </c>
      <c r="B7" s="3" t="s">
        <v>14</v>
      </c>
      <c r="C7" s="3" t="s">
        <v>33</v>
      </c>
      <c r="D7" s="3" t="s">
        <v>123</v>
      </c>
      <c r="E7" s="3" t="s">
        <v>124</v>
      </c>
      <c r="F7" s="3" t="s">
        <v>125</v>
      </c>
      <c r="G7" s="3" t="s">
        <v>89</v>
      </c>
      <c r="H7" s="3" t="s">
        <v>126</v>
      </c>
      <c r="I7" s="3" t="s">
        <v>127</v>
      </c>
      <c r="J7" s="3" t="s">
        <v>128</v>
      </c>
      <c r="K7" s="3" t="s">
        <v>129</v>
      </c>
      <c r="L7" s="3" t="s">
        <v>110</v>
      </c>
      <c r="M7" s="3" t="s">
        <v>67</v>
      </c>
      <c r="N7" s="6">
        <v>980</v>
      </c>
      <c r="O7" s="6">
        <v>12740</v>
      </c>
      <c r="P7" s="3" t="s">
        <v>95</v>
      </c>
      <c r="Q7" s="3" t="s">
        <v>96</v>
      </c>
      <c r="R7" s="3" t="s">
        <v>50</v>
      </c>
    </row>
    <row r="8" spans="1:18">
      <c r="A8" s="4">
        <v>46169</v>
      </c>
      <c r="B8" s="3" t="s">
        <v>17</v>
      </c>
      <c r="C8" s="3" t="s">
        <v>30</v>
      </c>
      <c r="D8" s="3" t="s">
        <v>130</v>
      </c>
      <c r="E8" s="3" t="s">
        <v>131</v>
      </c>
      <c r="F8" s="3" t="s">
        <v>132</v>
      </c>
      <c r="G8" s="3" t="s">
        <v>89</v>
      </c>
      <c r="H8" s="3" t="s">
        <v>133</v>
      </c>
      <c r="I8" s="3" t="s">
        <v>134</v>
      </c>
      <c r="J8" s="3" t="s">
        <v>135</v>
      </c>
      <c r="K8" s="3" t="s">
        <v>136</v>
      </c>
      <c r="L8" s="3" t="s">
        <v>110</v>
      </c>
      <c r="M8" s="3" t="s">
        <v>67</v>
      </c>
      <c r="N8" s="6">
        <v>52</v>
      </c>
      <c r="O8" s="6">
        <v>2225</v>
      </c>
      <c r="P8" s="3" t="s">
        <v>95</v>
      </c>
      <c r="Q8" s="3" t="s">
        <v>96</v>
      </c>
      <c r="R8" s="3" t="s">
        <v>50</v>
      </c>
    </row>
    <row r="9" spans="1:18">
      <c r="A9" s="4">
        <v>46169</v>
      </c>
      <c r="B9" s="3" t="s">
        <v>18</v>
      </c>
      <c r="C9" s="3" t="s">
        <v>31</v>
      </c>
      <c r="D9" s="3" t="s">
        <v>103</v>
      </c>
      <c r="E9" s="3" t="s">
        <v>137</v>
      </c>
      <c r="F9" s="3" t="s">
        <v>138</v>
      </c>
      <c r="G9" s="3" t="s">
        <v>89</v>
      </c>
      <c r="H9" s="3" t="s">
        <v>139</v>
      </c>
      <c r="I9" s="3" t="s">
        <v>140</v>
      </c>
      <c r="J9" s="3" t="s">
        <v>141</v>
      </c>
      <c r="K9" s="3" t="s">
        <v>142</v>
      </c>
      <c r="L9" s="3" t="s">
        <v>110</v>
      </c>
      <c r="M9" s="3" t="s">
        <v>72</v>
      </c>
      <c r="N9" s="6">
        <v>72</v>
      </c>
      <c r="O9" s="6">
        <v>2729</v>
      </c>
      <c r="P9" s="3" t="s">
        <v>95</v>
      </c>
      <c r="Q9" s="3" t="s">
        <v>96</v>
      </c>
      <c r="R9" s="3" t="s">
        <v>50</v>
      </c>
    </row>
    <row r="10" spans="1:18">
      <c r="A10" s="4">
        <v>46170</v>
      </c>
      <c r="B10" s="3" t="s">
        <v>19</v>
      </c>
      <c r="C10" s="3" t="s">
        <v>34</v>
      </c>
      <c r="D10" s="3" t="s">
        <v>143</v>
      </c>
      <c r="E10" s="3" t="s">
        <v>144</v>
      </c>
      <c r="F10" s="3" t="s">
        <v>145</v>
      </c>
      <c r="G10" s="3" t="s">
        <v>89</v>
      </c>
      <c r="H10" s="3" t="s">
        <v>146</v>
      </c>
      <c r="I10" s="3" t="s">
        <v>134</v>
      </c>
      <c r="J10" s="3" t="s">
        <v>147</v>
      </c>
      <c r="K10" s="3" t="s">
        <v>136</v>
      </c>
      <c r="L10" s="3" t="s">
        <v>110</v>
      </c>
      <c r="M10" s="3" t="s">
        <v>67</v>
      </c>
      <c r="N10" s="6">
        <v>18</v>
      </c>
      <c r="O10" s="6">
        <v>629</v>
      </c>
      <c r="P10" s="3" t="s">
        <v>95</v>
      </c>
      <c r="Q10" s="3" t="s">
        <v>96</v>
      </c>
      <c r="R10" s="3" t="s">
        <v>50</v>
      </c>
    </row>
    <row r="11" spans="1:18">
      <c r="A11" s="4">
        <v>46170</v>
      </c>
      <c r="B11" s="3" t="s">
        <v>20</v>
      </c>
      <c r="C11" s="3" t="s">
        <v>30</v>
      </c>
      <c r="D11" s="3" t="s">
        <v>97</v>
      </c>
      <c r="E11" s="3" t="s">
        <v>87</v>
      </c>
      <c r="F11" s="3" t="s">
        <v>148</v>
      </c>
      <c r="G11" s="3" t="s">
        <v>89</v>
      </c>
      <c r="H11" s="3" t="s">
        <v>149</v>
      </c>
      <c r="I11" s="3" t="s">
        <v>150</v>
      </c>
      <c r="J11" s="3" t="s">
        <v>151</v>
      </c>
      <c r="K11" s="3" t="s">
        <v>136</v>
      </c>
      <c r="L11" s="3" t="s">
        <v>110</v>
      </c>
      <c r="M11" s="3" t="s">
        <v>67</v>
      </c>
      <c r="N11" s="6">
        <v>35</v>
      </c>
      <c r="O11" s="6">
        <v>1033</v>
      </c>
      <c r="P11" s="3" t="s">
        <v>95</v>
      </c>
      <c r="Q11" s="3" t="s">
        <v>96</v>
      </c>
      <c r="R11" s="3" t="s">
        <v>50</v>
      </c>
    </row>
    <row r="12" spans="1:18">
      <c r="A12" s="4">
        <v>46171</v>
      </c>
      <c r="B12" s="3" t="s">
        <v>13</v>
      </c>
      <c r="C12" s="3" t="s">
        <v>32</v>
      </c>
      <c r="D12" s="3" t="s">
        <v>152</v>
      </c>
      <c r="E12" s="3" t="s">
        <v>153</v>
      </c>
      <c r="F12" s="3" t="s">
        <v>154</v>
      </c>
      <c r="G12" s="3" t="s">
        <v>89</v>
      </c>
      <c r="H12" s="3" t="s">
        <v>155</v>
      </c>
      <c r="I12" s="3" t="s">
        <v>156</v>
      </c>
      <c r="J12" s="3" t="s">
        <v>157</v>
      </c>
      <c r="K12" s="3" t="s">
        <v>158</v>
      </c>
      <c r="L12" s="3" t="s">
        <v>94</v>
      </c>
      <c r="M12" s="3" t="s">
        <v>68</v>
      </c>
      <c r="N12" s="6">
        <v>98</v>
      </c>
      <c r="O12" s="6">
        <v>1421</v>
      </c>
      <c r="P12" s="3" t="s">
        <v>95</v>
      </c>
      <c r="Q12" s="3" t="s">
        <v>96</v>
      </c>
      <c r="R12" s="3" t="s">
        <v>50</v>
      </c>
    </row>
    <row r="13" spans="1:18">
      <c r="A13" s="4">
        <v>46171</v>
      </c>
      <c r="B13" s="3" t="s">
        <v>16</v>
      </c>
      <c r="C13" s="3" t="s">
        <v>30</v>
      </c>
      <c r="D13" s="3" t="s">
        <v>130</v>
      </c>
      <c r="E13" s="3" t="s">
        <v>159</v>
      </c>
      <c r="F13" s="3" t="s">
        <v>160</v>
      </c>
      <c r="G13" s="3" t="s">
        <v>89</v>
      </c>
      <c r="H13" s="3" t="s">
        <v>161</v>
      </c>
      <c r="I13" s="3" t="s">
        <v>162</v>
      </c>
      <c r="J13" s="3" t="s">
        <v>163</v>
      </c>
      <c r="K13" s="3" t="s">
        <v>129</v>
      </c>
      <c r="L13" s="3" t="s">
        <v>110</v>
      </c>
      <c r="M13" s="3" t="s">
        <v>67</v>
      </c>
      <c r="N13" s="6">
        <v>79</v>
      </c>
      <c r="O13" s="6">
        <v>2500</v>
      </c>
      <c r="P13" s="3" t="s">
        <v>116</v>
      </c>
      <c r="Q13" s="3" t="s">
        <v>96</v>
      </c>
      <c r="R13" s="3" t="s">
        <v>50</v>
      </c>
    </row>
    <row r="14" spans="1:18">
      <c r="A14" s="4">
        <v>46172</v>
      </c>
      <c r="B14" s="3" t="s">
        <v>13</v>
      </c>
      <c r="C14" s="3" t="s">
        <v>30</v>
      </c>
      <c r="D14" s="3" t="s">
        <v>86</v>
      </c>
      <c r="E14" s="3" t="s">
        <v>87</v>
      </c>
      <c r="F14" s="3" t="s">
        <v>88</v>
      </c>
      <c r="G14" s="3" t="s">
        <v>89</v>
      </c>
      <c r="H14" s="3" t="s">
        <v>90</v>
      </c>
      <c r="I14" s="3" t="s">
        <v>91</v>
      </c>
      <c r="J14" s="3" t="s">
        <v>92</v>
      </c>
      <c r="K14" s="3" t="s">
        <v>93</v>
      </c>
      <c r="L14" s="3" t="s">
        <v>94</v>
      </c>
      <c r="M14" s="3" t="s">
        <v>68</v>
      </c>
      <c r="N14" s="6">
        <v>235</v>
      </c>
      <c r="O14" s="6">
        <v>5235</v>
      </c>
      <c r="P14" s="3" t="s">
        <v>95</v>
      </c>
      <c r="Q14" s="3" t="s">
        <v>96</v>
      </c>
      <c r="R14" s="3" t="s">
        <v>50</v>
      </c>
    </row>
    <row r="15" spans="1:18">
      <c r="A15" s="4">
        <v>46172</v>
      </c>
      <c r="B15" s="3" t="s">
        <v>14</v>
      </c>
      <c r="C15" s="3" t="s">
        <v>33</v>
      </c>
      <c r="D15" s="3" t="s">
        <v>123</v>
      </c>
      <c r="E15" s="3" t="s">
        <v>124</v>
      </c>
      <c r="F15" s="3" t="s">
        <v>125</v>
      </c>
      <c r="G15" s="3" t="s">
        <v>89</v>
      </c>
      <c r="H15" s="3" t="s">
        <v>126</v>
      </c>
      <c r="I15" s="3" t="s">
        <v>127</v>
      </c>
      <c r="J15" s="3" t="s">
        <v>128</v>
      </c>
      <c r="K15" s="3" t="s">
        <v>129</v>
      </c>
      <c r="L15" s="3" t="s">
        <v>110</v>
      </c>
      <c r="M15" s="3" t="s">
        <v>67</v>
      </c>
      <c r="N15" s="6">
        <v>1100</v>
      </c>
      <c r="O15" s="6">
        <v>14300</v>
      </c>
      <c r="P15" s="3" t="s">
        <v>95</v>
      </c>
      <c r="Q15" s="3" t="s">
        <v>96</v>
      </c>
      <c r="R15" s="3" t="s">
        <v>50</v>
      </c>
    </row>
    <row r="16" spans="1:18">
      <c r="A16" s="4">
        <v>46172</v>
      </c>
      <c r="B16" s="3" t="s">
        <v>18</v>
      </c>
      <c r="C16" s="3" t="s">
        <v>31</v>
      </c>
      <c r="D16" s="3" t="s">
        <v>103</v>
      </c>
      <c r="E16" s="3" t="s">
        <v>137</v>
      </c>
      <c r="F16" s="3" t="s">
        <v>138</v>
      </c>
      <c r="G16" s="3" t="s">
        <v>89</v>
      </c>
      <c r="H16" s="3" t="s">
        <v>139</v>
      </c>
      <c r="I16" s="3" t="s">
        <v>140</v>
      </c>
      <c r="J16" s="3" t="s">
        <v>141</v>
      </c>
      <c r="K16" s="3" t="s">
        <v>142</v>
      </c>
      <c r="L16" s="3" t="s">
        <v>110</v>
      </c>
      <c r="M16" s="3" t="s">
        <v>70</v>
      </c>
      <c r="N16" s="6">
        <v>88</v>
      </c>
      <c r="O16" s="6">
        <v>3335</v>
      </c>
      <c r="P16" s="3" t="s">
        <v>95</v>
      </c>
      <c r="Q16" s="3" t="s">
        <v>96</v>
      </c>
      <c r="R16" s="3" t="s">
        <v>50</v>
      </c>
    </row>
  </sheetData>
  <dataValidations count="4">
    <dataValidation type="list" allowBlank="1" sqref="B2:B500">
      <formula1>"大润发,盒马,华润,沃尔玛,永辉,天虹,比优特,家得福"</formula1>
    </dataValidation>
    <dataValidation type="list" allowBlank="1" sqref="C2:C500">
      <formula1>"华东,华南,华北,华中,西北,东北"</formula1>
    </dataValidation>
    <dataValidation type="list" allowBlank="1" sqref="G2:G500">
      <formula1>"是,否"</formula1>
    </dataValidation>
    <dataValidation type="list" allowBlank="1" sqref="Q2:Q500">
      <formula1>"Y,N"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2" width="12" customWidth="1"/>
    <col min="3" max="4" width="10" customWidth="1"/>
    <col min="5" max="5" width="12" customWidth="1"/>
    <col min="6" max="6" width="24" customWidth="1"/>
    <col min="7" max="7" width="9" customWidth="1"/>
    <col min="8" max="8" width="14" customWidth="1"/>
    <col min="9" max="9" width="32" customWidth="1"/>
    <col min="10" max="12" width="12" customWidth="1"/>
    <col min="13" max="13" width="14" customWidth="1"/>
    <col min="14" max="15" width="12" customWidth="1"/>
    <col min="16" max="16" width="20" customWidth="1"/>
  </cols>
  <sheetData>
    <row r="1" spans="1:16">
      <c r="A1" s="1" t="s">
        <v>76</v>
      </c>
      <c r="B1" s="1" t="s">
        <v>9</v>
      </c>
      <c r="C1" s="1" t="s">
        <v>23</v>
      </c>
      <c r="D1" s="1" t="s">
        <v>39</v>
      </c>
      <c r="E1" s="1" t="s">
        <v>77</v>
      </c>
      <c r="F1" s="1" t="s">
        <v>53</v>
      </c>
      <c r="G1" s="1" t="s">
        <v>78</v>
      </c>
      <c r="H1" s="1" t="s">
        <v>79</v>
      </c>
      <c r="I1" s="1" t="s">
        <v>81</v>
      </c>
      <c r="J1" s="1" t="s">
        <v>4</v>
      </c>
      <c r="K1" s="1" t="s">
        <v>164</v>
      </c>
      <c r="L1" s="1" t="s">
        <v>165</v>
      </c>
      <c r="M1" s="1" t="s">
        <v>166</v>
      </c>
      <c r="N1" s="1" t="s">
        <v>25</v>
      </c>
      <c r="O1" s="1" t="s">
        <v>167</v>
      </c>
      <c r="P1" s="1" t="s">
        <v>85</v>
      </c>
    </row>
    <row r="2" spans="1:16">
      <c r="A2" s="4">
        <v>46172</v>
      </c>
      <c r="B2" s="3" t="s">
        <v>13</v>
      </c>
      <c r="C2" s="3" t="s">
        <v>30</v>
      </c>
      <c r="D2" s="3" t="s">
        <v>86</v>
      </c>
      <c r="E2" s="3" t="s">
        <v>87</v>
      </c>
      <c r="F2" s="3" t="s">
        <v>88</v>
      </c>
      <c r="G2" s="3" t="s">
        <v>89</v>
      </c>
      <c r="H2" s="3" t="s">
        <v>90</v>
      </c>
      <c r="I2" s="3" t="s">
        <v>92</v>
      </c>
      <c r="J2" s="5">
        <v>15089</v>
      </c>
      <c r="K2" s="5">
        <v>1950</v>
      </c>
      <c r="L2" s="5">
        <v>725</v>
      </c>
      <c r="M2" s="5">
        <v>620</v>
      </c>
      <c r="N2" s="5">
        <f t="shared" ref="N2:N10" si="0">IFERROR(J2/M2,"")</f>
        <v>24.3370967741935</v>
      </c>
      <c r="O2" s="3" t="str">
        <f t="shared" ref="O2:O10" si="1">IF(N2="","",IF(N2&gt;60,"Y","N"))</f>
        <v>N</v>
      </c>
      <c r="P2" s="3" t="s">
        <v>50</v>
      </c>
    </row>
    <row r="3" spans="1:16">
      <c r="A3" s="4">
        <v>46172</v>
      </c>
      <c r="B3" s="3" t="s">
        <v>13</v>
      </c>
      <c r="C3" s="3" t="s">
        <v>31</v>
      </c>
      <c r="D3" s="3" t="s">
        <v>103</v>
      </c>
      <c r="E3" s="3" t="s">
        <v>104</v>
      </c>
      <c r="F3" s="3" t="s">
        <v>105</v>
      </c>
      <c r="G3" s="3" t="s">
        <v>89</v>
      </c>
      <c r="H3" s="3" t="s">
        <v>106</v>
      </c>
      <c r="I3" s="3" t="s">
        <v>108</v>
      </c>
      <c r="J3" s="5">
        <v>13619</v>
      </c>
      <c r="K3" s="5">
        <v>1250</v>
      </c>
      <c r="L3" s="5">
        <v>550</v>
      </c>
      <c r="M3" s="5">
        <v>210</v>
      </c>
      <c r="N3" s="5">
        <f t="shared" si="0"/>
        <v>64.852380952381</v>
      </c>
      <c r="O3" s="3" t="str">
        <f t="shared" si="1"/>
        <v>Y</v>
      </c>
      <c r="P3" s="3" t="s">
        <v>50</v>
      </c>
    </row>
    <row r="4" spans="1:16">
      <c r="A4" s="4">
        <v>46172</v>
      </c>
      <c r="B4" s="3" t="s">
        <v>16</v>
      </c>
      <c r="C4" s="3" t="s">
        <v>31</v>
      </c>
      <c r="D4" s="3" t="s">
        <v>103</v>
      </c>
      <c r="E4" s="3" t="s">
        <v>111</v>
      </c>
      <c r="F4" s="3" t="s">
        <v>112</v>
      </c>
      <c r="G4" s="3" t="s">
        <v>89</v>
      </c>
      <c r="H4" s="3" t="s">
        <v>113</v>
      </c>
      <c r="I4" s="3" t="s">
        <v>115</v>
      </c>
      <c r="J4" s="5">
        <v>30943</v>
      </c>
      <c r="K4" s="5">
        <v>0</v>
      </c>
      <c r="L4" s="5">
        <v>840</v>
      </c>
      <c r="M4" s="5">
        <v>1408</v>
      </c>
      <c r="N4" s="5">
        <f t="shared" si="0"/>
        <v>21.9765625</v>
      </c>
      <c r="O4" s="3" t="str">
        <f t="shared" si="1"/>
        <v>N</v>
      </c>
      <c r="P4" s="3" t="s">
        <v>50</v>
      </c>
    </row>
    <row r="5" spans="1:16">
      <c r="A5" s="4">
        <v>46172</v>
      </c>
      <c r="B5" s="3" t="s">
        <v>15</v>
      </c>
      <c r="C5" s="3" t="s">
        <v>32</v>
      </c>
      <c r="D5" s="3" t="s">
        <v>117</v>
      </c>
      <c r="E5" s="3" t="s">
        <v>118</v>
      </c>
      <c r="F5" s="3" t="s">
        <v>119</v>
      </c>
      <c r="G5" s="3" t="s">
        <v>89</v>
      </c>
      <c r="H5" s="3" t="s">
        <v>120</v>
      </c>
      <c r="I5" s="3" t="s">
        <v>122</v>
      </c>
      <c r="J5" s="5">
        <v>5233</v>
      </c>
      <c r="K5" s="5">
        <v>0</v>
      </c>
      <c r="L5" s="5">
        <v>0</v>
      </c>
      <c r="M5" s="5">
        <v>245</v>
      </c>
      <c r="N5" s="5">
        <f t="shared" si="0"/>
        <v>21.3591836734694</v>
      </c>
      <c r="O5" s="3" t="str">
        <f t="shared" si="1"/>
        <v>N</v>
      </c>
      <c r="P5" s="3" t="s">
        <v>50</v>
      </c>
    </row>
    <row r="6" spans="1:16">
      <c r="A6" s="4">
        <v>46172</v>
      </c>
      <c r="B6" s="3" t="s">
        <v>14</v>
      </c>
      <c r="C6" s="3" t="s">
        <v>33</v>
      </c>
      <c r="D6" s="3" t="s">
        <v>123</v>
      </c>
      <c r="E6" s="3" t="s">
        <v>124</v>
      </c>
      <c r="F6" s="3" t="s">
        <v>125</v>
      </c>
      <c r="G6" s="3" t="s">
        <v>89</v>
      </c>
      <c r="H6" s="3" t="s">
        <v>126</v>
      </c>
      <c r="I6" s="3" t="s">
        <v>128</v>
      </c>
      <c r="J6" s="5">
        <v>94942</v>
      </c>
      <c r="K6" s="5">
        <v>0</v>
      </c>
      <c r="L6" s="5">
        <v>21250</v>
      </c>
      <c r="M6" s="5">
        <v>20146</v>
      </c>
      <c r="N6" s="5">
        <f t="shared" si="0"/>
        <v>4.71269730963963</v>
      </c>
      <c r="O6" s="3" t="str">
        <f t="shared" si="1"/>
        <v>N</v>
      </c>
      <c r="P6" s="3" t="s">
        <v>50</v>
      </c>
    </row>
    <row r="7" spans="1:16">
      <c r="A7" s="4">
        <v>46172</v>
      </c>
      <c r="B7" s="3" t="s">
        <v>17</v>
      </c>
      <c r="C7" s="3" t="s">
        <v>30</v>
      </c>
      <c r="D7" s="3" t="s">
        <v>130</v>
      </c>
      <c r="E7" s="3" t="s">
        <v>131</v>
      </c>
      <c r="F7" s="3" t="s">
        <v>132</v>
      </c>
      <c r="G7" s="3" t="s">
        <v>89</v>
      </c>
      <c r="H7" s="3" t="s">
        <v>133</v>
      </c>
      <c r="I7" s="3" t="s">
        <v>135</v>
      </c>
      <c r="J7" s="5">
        <v>74</v>
      </c>
      <c r="K7" s="5">
        <v>0</v>
      </c>
      <c r="L7" s="5">
        <v>0</v>
      </c>
      <c r="M7" s="5">
        <v>7</v>
      </c>
      <c r="N7" s="5">
        <f t="shared" si="0"/>
        <v>10.5714285714286</v>
      </c>
      <c r="O7" s="3" t="str">
        <f t="shared" si="1"/>
        <v>N</v>
      </c>
      <c r="P7" s="3" t="s">
        <v>50</v>
      </c>
    </row>
    <row r="8" spans="1:16">
      <c r="A8" s="4">
        <v>46172</v>
      </c>
      <c r="B8" s="3" t="s">
        <v>18</v>
      </c>
      <c r="C8" s="3" t="s">
        <v>31</v>
      </c>
      <c r="D8" s="3" t="s">
        <v>103</v>
      </c>
      <c r="E8" s="3" t="s">
        <v>137</v>
      </c>
      <c r="F8" s="3" t="s">
        <v>138</v>
      </c>
      <c r="G8" s="3" t="s">
        <v>89</v>
      </c>
      <c r="H8" s="3" t="s">
        <v>139</v>
      </c>
      <c r="I8" s="3" t="s">
        <v>141</v>
      </c>
      <c r="J8" s="5">
        <v>5444</v>
      </c>
      <c r="K8" s="5">
        <v>0</v>
      </c>
      <c r="L8" s="5">
        <v>0</v>
      </c>
      <c r="M8" s="5">
        <v>129</v>
      </c>
      <c r="N8" s="5">
        <f t="shared" si="0"/>
        <v>42.2015503875969</v>
      </c>
      <c r="O8" s="3" t="str">
        <f t="shared" si="1"/>
        <v>N</v>
      </c>
      <c r="P8" s="3" t="s">
        <v>50</v>
      </c>
    </row>
    <row r="9" spans="1:16">
      <c r="A9" s="4">
        <v>46172</v>
      </c>
      <c r="B9" s="3" t="s">
        <v>19</v>
      </c>
      <c r="C9" s="3" t="s">
        <v>34</v>
      </c>
      <c r="D9" s="3" t="s">
        <v>143</v>
      </c>
      <c r="E9" s="3" t="s">
        <v>144</v>
      </c>
      <c r="F9" s="3" t="s">
        <v>145</v>
      </c>
      <c r="G9" s="3" t="s">
        <v>89</v>
      </c>
      <c r="H9" s="3" t="s">
        <v>146</v>
      </c>
      <c r="I9" s="3" t="s">
        <v>147</v>
      </c>
      <c r="J9" s="5">
        <v>15925</v>
      </c>
      <c r="K9" s="5">
        <v>0</v>
      </c>
      <c r="L9" s="5">
        <v>0</v>
      </c>
      <c r="M9" s="5">
        <v>31</v>
      </c>
      <c r="N9" s="5">
        <f t="shared" si="0"/>
        <v>513.709677419355</v>
      </c>
      <c r="O9" s="3" t="str">
        <f t="shared" si="1"/>
        <v>Y</v>
      </c>
      <c r="P9" s="3" t="s">
        <v>50</v>
      </c>
    </row>
    <row r="10" spans="1:16">
      <c r="A10" s="4">
        <v>46172</v>
      </c>
      <c r="B10" s="3" t="s">
        <v>20</v>
      </c>
      <c r="C10" s="3" t="s">
        <v>30</v>
      </c>
      <c r="D10" s="3" t="s">
        <v>97</v>
      </c>
      <c r="E10" s="3" t="s">
        <v>87</v>
      </c>
      <c r="F10" s="3" t="s">
        <v>148</v>
      </c>
      <c r="G10" s="3" t="s">
        <v>89</v>
      </c>
      <c r="H10" s="3" t="s">
        <v>149</v>
      </c>
      <c r="I10" s="3" t="s">
        <v>151</v>
      </c>
      <c r="J10" s="5">
        <v>315</v>
      </c>
      <c r="K10" s="5">
        <v>0</v>
      </c>
      <c r="L10" s="5">
        <v>0</v>
      </c>
      <c r="M10" s="5">
        <v>6</v>
      </c>
      <c r="N10" s="5">
        <f t="shared" si="0"/>
        <v>52.5</v>
      </c>
      <c r="O10" s="3" t="str">
        <f t="shared" si="1"/>
        <v>N</v>
      </c>
      <c r="P10" s="3" t="s">
        <v>50</v>
      </c>
    </row>
  </sheetData>
  <conditionalFormatting sqref="N2:N10">
    <cfRule type="cellIs" dxfId="0" priority="1" operator="greaterThan">
      <formula>60</formula>
    </cfRule>
  </conditionalFormatting>
  <dataValidations count="3">
    <dataValidation type="list" allowBlank="1" sqref="B2:B500">
      <formula1>"大润发,盒马,华润,沃尔玛,永辉,天虹,比优特,家得福"</formula1>
    </dataValidation>
    <dataValidation type="list" allowBlank="1" sqref="C2:C500">
      <formula1>"华东,华南,华北,华中,西北,东北"</formula1>
    </dataValidation>
    <dataValidation type="list" allowBlank="1" sqref="G2:G500">
      <formula1>"是,否"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4"/>
  <cols>
    <col min="1" max="2" width="12" customWidth="1"/>
    <col min="3" max="4" width="10" customWidth="1"/>
    <col min="5" max="5" width="12" customWidth="1"/>
    <col min="6" max="6" width="24" customWidth="1"/>
    <col min="7" max="7" width="14" customWidth="1"/>
    <col min="8" max="8" width="32" customWidth="1"/>
    <col min="9" max="9" width="12" customWidth="1"/>
    <col min="10" max="10" width="14" customWidth="1"/>
    <col min="11" max="11" width="12" customWidth="1"/>
    <col min="12" max="12" width="14" customWidth="1"/>
    <col min="13" max="14" width="18" customWidth="1"/>
    <col min="15" max="15" width="28" customWidth="1"/>
  </cols>
  <sheetData>
    <row r="1" spans="1:15">
      <c r="A1" s="1" t="s">
        <v>76</v>
      </c>
      <c r="B1" s="1" t="s">
        <v>9</v>
      </c>
      <c r="C1" s="1" t="s">
        <v>23</v>
      </c>
      <c r="D1" s="1" t="s">
        <v>39</v>
      </c>
      <c r="E1" s="1" t="s">
        <v>77</v>
      </c>
      <c r="F1" s="1" t="s">
        <v>53</v>
      </c>
      <c r="G1" s="1" t="s">
        <v>79</v>
      </c>
      <c r="H1" s="1" t="s">
        <v>81</v>
      </c>
      <c r="I1" s="1" t="s">
        <v>168</v>
      </c>
      <c r="J1" s="1" t="s">
        <v>27</v>
      </c>
      <c r="K1" s="1" t="s">
        <v>169</v>
      </c>
      <c r="L1" s="1" t="s">
        <v>65</v>
      </c>
      <c r="M1" s="1" t="s">
        <v>170</v>
      </c>
      <c r="N1" s="1" t="s">
        <v>171</v>
      </c>
      <c r="O1" s="1" t="s">
        <v>85</v>
      </c>
    </row>
    <row r="2" ht="27" spans="1:15">
      <c r="A2" s="4">
        <v>46172</v>
      </c>
      <c r="B2" s="3" t="s">
        <v>14</v>
      </c>
      <c r="C2" s="3" t="s">
        <v>33</v>
      </c>
      <c r="D2" s="3" t="s">
        <v>123</v>
      </c>
      <c r="E2" s="3" t="s">
        <v>124</v>
      </c>
      <c r="F2" s="3" t="s">
        <v>125</v>
      </c>
      <c r="G2" s="3" t="s">
        <v>126</v>
      </c>
      <c r="H2" s="3" t="s">
        <v>128</v>
      </c>
      <c r="I2" s="5">
        <v>24043</v>
      </c>
      <c r="J2" s="5" t="s">
        <v>50</v>
      </c>
      <c r="K2" s="5">
        <v>120</v>
      </c>
      <c r="L2" s="5" t="s">
        <v>50</v>
      </c>
      <c r="M2" s="3" t="s">
        <v>172</v>
      </c>
      <c r="N2" s="3" t="s">
        <v>169</v>
      </c>
      <c r="O2" s="3" t="s">
        <v>50</v>
      </c>
    </row>
    <row r="3" ht="27" spans="1:15">
      <c r="A3" s="4">
        <v>46172</v>
      </c>
      <c r="B3" s="3" t="s">
        <v>20</v>
      </c>
      <c r="C3" s="3" t="s">
        <v>30</v>
      </c>
      <c r="D3" s="3" t="s">
        <v>97</v>
      </c>
      <c r="E3" s="3" t="s">
        <v>87</v>
      </c>
      <c r="F3" s="3" t="s">
        <v>148</v>
      </c>
      <c r="G3" s="3" t="s">
        <v>149</v>
      </c>
      <c r="H3" s="3" t="s">
        <v>151</v>
      </c>
      <c r="I3" s="5">
        <v>315</v>
      </c>
      <c r="J3" s="5">
        <v>9050</v>
      </c>
      <c r="K3" s="5">
        <v>0</v>
      </c>
      <c r="L3" s="5">
        <v>0</v>
      </c>
      <c r="M3" s="3" t="s">
        <v>173</v>
      </c>
      <c r="N3" s="3" t="s">
        <v>174</v>
      </c>
      <c r="O3" s="3" t="s">
        <v>50</v>
      </c>
    </row>
    <row r="4" ht="27" spans="1:15">
      <c r="A4" s="4">
        <v>46172</v>
      </c>
      <c r="B4" s="3" t="s">
        <v>13</v>
      </c>
      <c r="C4" s="3" t="s">
        <v>30</v>
      </c>
      <c r="D4" s="3" t="s">
        <v>86</v>
      </c>
      <c r="E4" s="3" t="s">
        <v>87</v>
      </c>
      <c r="F4" s="3" t="s">
        <v>88</v>
      </c>
      <c r="G4" s="3" t="s">
        <v>90</v>
      </c>
      <c r="H4" s="3" t="s">
        <v>92</v>
      </c>
      <c r="I4" s="5">
        <v>725</v>
      </c>
      <c r="J4" s="5" t="s">
        <v>50</v>
      </c>
      <c r="K4" s="5" t="s">
        <v>50</v>
      </c>
      <c r="L4" s="5" t="s">
        <v>50</v>
      </c>
      <c r="M4" s="3" t="s">
        <v>175</v>
      </c>
      <c r="N4" s="3" t="s">
        <v>176</v>
      </c>
      <c r="O4" s="3" t="s">
        <v>177</v>
      </c>
    </row>
    <row r="5" spans="1:15">
      <c r="A5" s="4">
        <v>46172</v>
      </c>
      <c r="B5" s="3" t="s">
        <v>16</v>
      </c>
      <c r="C5" s="3" t="s">
        <v>31</v>
      </c>
      <c r="D5" s="3" t="s">
        <v>103</v>
      </c>
      <c r="E5" s="3" t="s">
        <v>111</v>
      </c>
      <c r="F5" s="3" t="s">
        <v>112</v>
      </c>
      <c r="G5" s="3" t="s">
        <v>113</v>
      </c>
      <c r="H5" s="3" t="s">
        <v>115</v>
      </c>
      <c r="I5" s="5" t="s">
        <v>50</v>
      </c>
      <c r="J5" s="5" t="s">
        <v>50</v>
      </c>
      <c r="K5" s="5" t="s">
        <v>50</v>
      </c>
      <c r="L5" s="5" t="s">
        <v>50</v>
      </c>
      <c r="M5" s="3" t="s">
        <v>178</v>
      </c>
      <c r="N5" s="3" t="s">
        <v>179</v>
      </c>
      <c r="O5" s="3" t="s">
        <v>180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2" width="12" customWidth="1"/>
    <col min="3" max="3" width="24" customWidth="1"/>
    <col min="4" max="4" width="9" customWidth="1"/>
    <col min="5" max="6" width="10" customWidth="1"/>
    <col min="7" max="7" width="12" customWidth="1"/>
    <col min="8" max="9" width="10" customWidth="1"/>
  </cols>
  <sheetData>
    <row r="1" spans="1:9">
      <c r="A1" s="1" t="s">
        <v>9</v>
      </c>
      <c r="B1" s="1" t="s">
        <v>77</v>
      </c>
      <c r="C1" s="1" t="s">
        <v>53</v>
      </c>
      <c r="D1" s="1" t="s">
        <v>78</v>
      </c>
      <c r="E1" s="1" t="s">
        <v>23</v>
      </c>
      <c r="F1" s="1" t="s">
        <v>39</v>
      </c>
      <c r="G1" s="1" t="s">
        <v>181</v>
      </c>
      <c r="H1" s="1" t="s">
        <v>182</v>
      </c>
      <c r="I1" s="1" t="s">
        <v>183</v>
      </c>
    </row>
    <row r="2" spans="1:9">
      <c r="A2" s="3" t="s">
        <v>13</v>
      </c>
      <c r="B2" s="3" t="s">
        <v>87</v>
      </c>
      <c r="C2" s="3" t="s">
        <v>88</v>
      </c>
      <c r="D2" s="3" t="s">
        <v>89</v>
      </c>
      <c r="E2" s="3" t="s">
        <v>30</v>
      </c>
      <c r="F2" s="3" t="s">
        <v>86</v>
      </c>
      <c r="G2" s="3" t="s">
        <v>86</v>
      </c>
      <c r="H2" s="3" t="s">
        <v>184</v>
      </c>
      <c r="I2" s="3" t="s">
        <v>185</v>
      </c>
    </row>
    <row r="3" spans="1:9">
      <c r="A3" s="3" t="s">
        <v>13</v>
      </c>
      <c r="B3" s="3" t="s">
        <v>98</v>
      </c>
      <c r="C3" s="3" t="s">
        <v>99</v>
      </c>
      <c r="D3" s="3" t="s">
        <v>89</v>
      </c>
      <c r="E3" s="3" t="s">
        <v>30</v>
      </c>
      <c r="F3" s="3" t="s">
        <v>86</v>
      </c>
      <c r="G3" s="3" t="s">
        <v>86</v>
      </c>
      <c r="H3" s="3" t="s">
        <v>184</v>
      </c>
      <c r="I3" s="3" t="s">
        <v>185</v>
      </c>
    </row>
    <row r="4" spans="1:9">
      <c r="A4" s="3" t="s">
        <v>13</v>
      </c>
      <c r="B4" s="3" t="s">
        <v>104</v>
      </c>
      <c r="C4" s="3" t="s">
        <v>105</v>
      </c>
      <c r="D4" s="3" t="s">
        <v>89</v>
      </c>
      <c r="E4" s="3" t="s">
        <v>31</v>
      </c>
      <c r="F4" s="3" t="s">
        <v>103</v>
      </c>
      <c r="G4" s="3" t="s">
        <v>186</v>
      </c>
      <c r="H4" s="3" t="s">
        <v>187</v>
      </c>
      <c r="I4" s="3" t="s">
        <v>185</v>
      </c>
    </row>
    <row r="5" spans="1:9">
      <c r="A5" s="3" t="s">
        <v>16</v>
      </c>
      <c r="B5" s="3" t="s">
        <v>111</v>
      </c>
      <c r="C5" s="3" t="s">
        <v>112</v>
      </c>
      <c r="D5" s="3" t="s">
        <v>89</v>
      </c>
      <c r="E5" s="3" t="s">
        <v>31</v>
      </c>
      <c r="F5" s="3" t="s">
        <v>103</v>
      </c>
      <c r="G5" s="3" t="s">
        <v>186</v>
      </c>
      <c r="H5" s="3" t="s">
        <v>187</v>
      </c>
      <c r="I5" s="3" t="s">
        <v>185</v>
      </c>
    </row>
    <row r="6" spans="1:9">
      <c r="A6" s="3" t="s">
        <v>15</v>
      </c>
      <c r="B6" s="3" t="s">
        <v>118</v>
      </c>
      <c r="C6" s="3" t="s">
        <v>119</v>
      </c>
      <c r="D6" s="3" t="s">
        <v>89</v>
      </c>
      <c r="E6" s="3" t="s">
        <v>32</v>
      </c>
      <c r="F6" s="3" t="s">
        <v>117</v>
      </c>
      <c r="G6" s="3" t="s">
        <v>117</v>
      </c>
      <c r="H6" s="3" t="s">
        <v>187</v>
      </c>
      <c r="I6" s="3" t="s">
        <v>185</v>
      </c>
    </row>
    <row r="7" spans="1:9">
      <c r="A7" s="3" t="s">
        <v>14</v>
      </c>
      <c r="B7" s="3" t="s">
        <v>124</v>
      </c>
      <c r="C7" s="3" t="s">
        <v>125</v>
      </c>
      <c r="D7" s="3" t="s">
        <v>89</v>
      </c>
      <c r="E7" s="3" t="s">
        <v>33</v>
      </c>
      <c r="F7" s="3" t="s">
        <v>123</v>
      </c>
      <c r="G7" s="3" t="s">
        <v>188</v>
      </c>
      <c r="H7" s="3" t="s">
        <v>187</v>
      </c>
      <c r="I7" s="3" t="s">
        <v>185</v>
      </c>
    </row>
    <row r="8" spans="1:9">
      <c r="A8" s="3" t="s">
        <v>17</v>
      </c>
      <c r="B8" s="3" t="s">
        <v>131</v>
      </c>
      <c r="C8" s="3" t="s">
        <v>132</v>
      </c>
      <c r="D8" s="3" t="s">
        <v>89</v>
      </c>
      <c r="E8" s="3" t="s">
        <v>30</v>
      </c>
      <c r="F8" s="3" t="s">
        <v>130</v>
      </c>
      <c r="G8" s="3" t="s">
        <v>189</v>
      </c>
      <c r="H8" s="3" t="s">
        <v>184</v>
      </c>
      <c r="I8" s="3" t="s">
        <v>185</v>
      </c>
    </row>
    <row r="9" spans="1:9">
      <c r="A9" s="3" t="s">
        <v>18</v>
      </c>
      <c r="B9" s="3" t="s">
        <v>137</v>
      </c>
      <c r="C9" s="3" t="s">
        <v>138</v>
      </c>
      <c r="D9" s="3" t="s">
        <v>89</v>
      </c>
      <c r="E9" s="3" t="s">
        <v>31</v>
      </c>
      <c r="F9" s="3" t="s">
        <v>103</v>
      </c>
      <c r="G9" s="3" t="s">
        <v>190</v>
      </c>
      <c r="H9" s="3" t="s">
        <v>187</v>
      </c>
      <c r="I9" s="3" t="s">
        <v>185</v>
      </c>
    </row>
    <row r="10" spans="1:9">
      <c r="A10" s="3" t="s">
        <v>19</v>
      </c>
      <c r="B10" s="3" t="s">
        <v>144</v>
      </c>
      <c r="C10" s="3" t="s">
        <v>145</v>
      </c>
      <c r="D10" s="3" t="s">
        <v>89</v>
      </c>
      <c r="E10" s="3" t="s">
        <v>34</v>
      </c>
      <c r="F10" s="3" t="s">
        <v>143</v>
      </c>
      <c r="G10" s="3" t="s">
        <v>191</v>
      </c>
      <c r="H10" s="3" t="s">
        <v>187</v>
      </c>
      <c r="I10" s="3" t="s">
        <v>185</v>
      </c>
    </row>
    <row r="11" spans="1:9">
      <c r="A11" s="3" t="s">
        <v>20</v>
      </c>
      <c r="B11" s="3" t="s">
        <v>87</v>
      </c>
      <c r="C11" s="3" t="s">
        <v>148</v>
      </c>
      <c r="D11" s="3" t="s">
        <v>89</v>
      </c>
      <c r="E11" s="3" t="s">
        <v>30</v>
      </c>
      <c r="F11" s="3" t="s">
        <v>97</v>
      </c>
      <c r="G11" s="3" t="s">
        <v>192</v>
      </c>
      <c r="H11" s="3" t="s">
        <v>184</v>
      </c>
      <c r="I11" s="3" t="s">
        <v>185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pane ySplit="1" topLeftCell="A2" activePane="bottomLeft" state="frozen"/>
      <selection/>
      <selection pane="bottomLeft" activeCell="D41" sqref="D41"/>
    </sheetView>
  </sheetViews>
  <sheetFormatPr defaultColWidth="9" defaultRowHeight="13.5" outlineLevelRow="5"/>
  <cols>
    <col min="1" max="1" width="12" customWidth="1"/>
    <col min="2" max="2" width="14" customWidth="1"/>
    <col min="3" max="3" width="16" customWidth="1"/>
    <col min="4" max="4" width="26" customWidth="1"/>
    <col min="5" max="5" width="32" customWidth="1"/>
    <col min="6" max="6" width="12" customWidth="1"/>
    <col min="7" max="8" width="10" customWidth="1"/>
    <col min="9" max="9" width="14" customWidth="1"/>
    <col min="10" max="10" width="10" customWidth="1"/>
  </cols>
  <sheetData>
    <row r="1" ht="27" spans="1:10">
      <c r="A1" s="1" t="s">
        <v>9</v>
      </c>
      <c r="B1" s="1" t="s">
        <v>79</v>
      </c>
      <c r="C1" s="1" t="s">
        <v>80</v>
      </c>
      <c r="D1" s="1" t="s">
        <v>193</v>
      </c>
      <c r="E1" s="1" t="s">
        <v>194</v>
      </c>
      <c r="F1" s="1" t="s">
        <v>82</v>
      </c>
      <c r="G1" s="1" t="s">
        <v>40</v>
      </c>
      <c r="H1" s="1" t="s">
        <v>195</v>
      </c>
      <c r="I1" s="1" t="s">
        <v>196</v>
      </c>
      <c r="J1" s="1" t="s">
        <v>197</v>
      </c>
    </row>
    <row r="2" spans="1:10">
      <c r="A2" s="3" t="s">
        <v>13</v>
      </c>
      <c r="B2" s="3" t="s">
        <v>90</v>
      </c>
      <c r="C2" s="3" t="s">
        <v>91</v>
      </c>
      <c r="D2" s="3" t="s">
        <v>198</v>
      </c>
      <c r="E2" s="3" t="s">
        <v>92</v>
      </c>
      <c r="F2" s="3" t="s">
        <v>93</v>
      </c>
      <c r="G2" s="3" t="s">
        <v>94</v>
      </c>
      <c r="H2" s="3" t="s">
        <v>199</v>
      </c>
      <c r="I2" s="3" t="s">
        <v>200</v>
      </c>
      <c r="J2" s="3" t="s">
        <v>96</v>
      </c>
    </row>
    <row r="3" spans="1:10">
      <c r="A3" s="3" t="s">
        <v>13</v>
      </c>
      <c r="B3" s="3" t="s">
        <v>106</v>
      </c>
      <c r="C3" s="3" t="s">
        <v>107</v>
      </c>
      <c r="D3" s="3" t="s">
        <v>201</v>
      </c>
      <c r="E3" s="3" t="s">
        <v>108</v>
      </c>
      <c r="F3" s="3" t="s">
        <v>109</v>
      </c>
      <c r="G3" s="3" t="s">
        <v>110</v>
      </c>
      <c r="H3" s="3" t="s">
        <v>202</v>
      </c>
      <c r="I3" s="3" t="s">
        <v>203</v>
      </c>
      <c r="J3" s="3" t="s">
        <v>96</v>
      </c>
    </row>
    <row r="4" spans="1:10">
      <c r="A4" s="3" t="s">
        <v>16</v>
      </c>
      <c r="B4" s="3" t="s">
        <v>113</v>
      </c>
      <c r="C4" s="3" t="s">
        <v>114</v>
      </c>
      <c r="D4" s="3" t="s">
        <v>198</v>
      </c>
      <c r="E4" s="3" t="s">
        <v>115</v>
      </c>
      <c r="F4" s="3" t="s">
        <v>93</v>
      </c>
      <c r="G4" s="3" t="s">
        <v>94</v>
      </c>
      <c r="H4" s="3" t="s">
        <v>199</v>
      </c>
      <c r="I4" s="3" t="s">
        <v>200</v>
      </c>
      <c r="J4" s="3" t="s">
        <v>96</v>
      </c>
    </row>
    <row r="5" spans="1:10">
      <c r="A5" s="3" t="s">
        <v>14</v>
      </c>
      <c r="B5" s="3" t="s">
        <v>126</v>
      </c>
      <c r="C5" s="3" t="s">
        <v>127</v>
      </c>
      <c r="D5" s="3" t="s">
        <v>204</v>
      </c>
      <c r="E5" s="3" t="s">
        <v>128</v>
      </c>
      <c r="F5" s="3" t="s">
        <v>129</v>
      </c>
      <c r="G5" s="3" t="s">
        <v>110</v>
      </c>
      <c r="H5" s="3" t="s">
        <v>205</v>
      </c>
      <c r="I5" s="3" t="s">
        <v>200</v>
      </c>
      <c r="J5" s="3" t="s">
        <v>96</v>
      </c>
    </row>
    <row r="6" spans="1:10">
      <c r="A6" s="3" t="s">
        <v>18</v>
      </c>
      <c r="B6" s="3" t="s">
        <v>139</v>
      </c>
      <c r="C6" s="3" t="s">
        <v>140</v>
      </c>
      <c r="D6" s="3" t="s">
        <v>206</v>
      </c>
      <c r="E6" s="3" t="s">
        <v>141</v>
      </c>
      <c r="F6" s="3" t="s">
        <v>142</v>
      </c>
      <c r="G6" s="3" t="s">
        <v>110</v>
      </c>
      <c r="H6" s="3" t="s">
        <v>207</v>
      </c>
      <c r="I6" s="3" t="s">
        <v>208</v>
      </c>
      <c r="J6" s="3" t="s">
        <v>96</v>
      </c>
    </row>
  </sheetData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8" customWidth="1"/>
    <col min="2" max="2" width="42" customWidth="1"/>
    <col min="3" max="3" width="30" customWidth="1"/>
    <col min="4" max="4" width="40" customWidth="1"/>
  </cols>
  <sheetData>
    <row r="1" spans="1:4">
      <c r="A1" s="1" t="s">
        <v>209</v>
      </c>
      <c r="B1" s="1" t="s">
        <v>210</v>
      </c>
      <c r="C1" s="1" t="s">
        <v>211</v>
      </c>
      <c r="D1" s="1" t="s">
        <v>212</v>
      </c>
    </row>
    <row r="2" ht="27" spans="1:4">
      <c r="A2" s="2" t="s">
        <v>3</v>
      </c>
      <c r="B2" s="2" t="s">
        <v>213</v>
      </c>
      <c r="C2" s="2" t="s">
        <v>214</v>
      </c>
      <c r="D2" s="2" t="s">
        <v>215</v>
      </c>
    </row>
    <row r="3" ht="27" spans="1:4">
      <c r="A3" s="2" t="s">
        <v>2</v>
      </c>
      <c r="B3" s="2" t="s">
        <v>216</v>
      </c>
      <c r="C3" s="2" t="s">
        <v>217</v>
      </c>
      <c r="D3" s="2" t="s">
        <v>218</v>
      </c>
    </row>
    <row r="4" spans="1:4">
      <c r="A4" s="2" t="s">
        <v>168</v>
      </c>
      <c r="B4" s="2" t="s">
        <v>219</v>
      </c>
      <c r="C4" s="2" t="s">
        <v>220</v>
      </c>
      <c r="D4" s="2" t="s">
        <v>221</v>
      </c>
    </row>
    <row r="5" spans="1:4">
      <c r="A5" s="2" t="s">
        <v>166</v>
      </c>
      <c r="B5" s="2" t="s">
        <v>222</v>
      </c>
      <c r="C5" s="2" t="s">
        <v>223</v>
      </c>
      <c r="D5" s="2" t="s">
        <v>224</v>
      </c>
    </row>
    <row r="6" ht="27" spans="1:4">
      <c r="A6" s="2" t="s">
        <v>225</v>
      </c>
      <c r="B6" s="2" t="s">
        <v>226</v>
      </c>
      <c r="C6" s="2" t="s">
        <v>227</v>
      </c>
      <c r="D6" s="2" t="s">
        <v>228</v>
      </c>
    </row>
    <row r="7" spans="1:4">
      <c r="A7" s="2" t="s">
        <v>229</v>
      </c>
      <c r="B7" s="2" t="s">
        <v>230</v>
      </c>
      <c r="C7" s="2" t="s">
        <v>231</v>
      </c>
      <c r="D7" s="2" t="s">
        <v>232</v>
      </c>
    </row>
    <row r="8" spans="1:4">
      <c r="A8" s="2" t="s">
        <v>233</v>
      </c>
      <c r="B8" s="2" t="s">
        <v>234</v>
      </c>
      <c r="C8" s="2" t="s">
        <v>235</v>
      </c>
      <c r="D8" s="2" t="s">
        <v>236</v>
      </c>
    </row>
    <row r="9" spans="1:4">
      <c r="A9" s="2" t="s">
        <v>59</v>
      </c>
      <c r="B9" s="2" t="s">
        <v>237</v>
      </c>
      <c r="C9" s="2" t="s">
        <v>238</v>
      </c>
      <c r="D9" s="2" t="s">
        <v>239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总览仪表盘</vt:lpstr>
      <vt:lpstr>智能日报看板</vt:lpstr>
      <vt:lpstr>销售明细</vt:lpstr>
      <vt:lpstr>库存明细</vt:lpstr>
      <vt:lpstr>出货退货</vt:lpstr>
      <vt:lpstr>门店维表</vt:lpstr>
      <vt:lpstr>商品维表</vt:lpstr>
      <vt:lpstr>指标口径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2026-06-01T07:18:00Z</dcterms:created>
  <dcterms:modified xsi:type="dcterms:W3CDTF">2026-06-01T10:00:21Z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BBD0679BB90F436EA867AAB2D9D6C26F_12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