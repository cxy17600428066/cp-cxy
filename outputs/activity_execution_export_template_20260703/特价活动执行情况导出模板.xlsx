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67d9198ec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情况汇总" sheetId="1" r:id="Ra50b04ebee984b9a"/>
    <x:sheet xmlns:r="http://schemas.openxmlformats.org/officeDocument/2006/relationships" name="活动品项" sheetId="2" r:id="R5ccf49f036e145d4"/>
    <x:sheet xmlns:r="http://schemas.openxmlformats.org/officeDocument/2006/relationships" name="附件清单" sheetId="3" r:id="Raf6e0763743f4e06"/>
    <x:sheet xmlns:r="http://schemas.openxmlformats.org/officeDocument/2006/relationships" name="操作日志" sheetId="4" r:id="R92b6b41cd07d49de"/>
    <x:sheet xmlns:r="http://schemas.openxmlformats.org/officeDocument/2006/relationships" name="字段说明" sheetId="5" r:id="Rdf9192d4e639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.00"/>
    <x:numFmt numFmtId="202" formatCode="yyyy-mm-dd"/>
    <x:numFmt numFmtId="203" formatCode="0.00%"/>
    <x:numFmt numFmtId="204" formatCode="yyyy-mm-dd hh:mm:ss"/>
  </x:numFmts>
  <x:fonts count="6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AD6800"/>
      <x:name val="Microsoft YaHei"/>
    </x:font>
    <x:font>
      <x:b/>
      <x:sz val="11"/>
      <x:color rgb="FFFFFFFF"/>
      <x:name val="Microsoft YaHei"/>
    </x:font>
    <x:font>
      <x:sz val="10"/>
      <x:color rgb="FF303133"/>
      <x:name val="Microsoft YaHei"/>
    </x:font>
    <x:font>
      <x:b/>
      <x:sz val="11"/>
      <x:color rgb="FF1F4E78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7E6"/>
      </x:patternFill>
    </x:fill>
    <x:fill>
      <x:patternFill patternType="solid">
        <x:fgColor rgb="FF409EFF"/>
      </x:patternFill>
    </x:fill>
    <x:fill>
      <x:patternFill patternType="solid">
        <x:fgColor rgb="FFF5F7FA"/>
      </x:patternFill>
    </x:fill>
    <x:fill>
      <x:patternFill patternType="solid">
        <x:fgColor rgb="FFEAF3FF"/>
      </x:patternFill>
    </x:fill>
  </x:fills>
  <x:borders count="14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bottom style="thin">
        <x:color rgb="FFE8EDF4"/>
      </x:bottom>
    </x:border>
    <x:border>
      <x:right style="thin">
        <x:color rgb="FFE8EDF4"/>
      </x:right>
      <x:top style="thin">
        <x:color rgb="FFE8EDF4"/>
      </x:top>
    </x:border>
    <x:border>
      <x:left style="thin">
        <x:color rgb="FFE8EDF4"/>
      </x:left>
      <x:right style="thin">
        <x:color rgb="FFE8EDF4"/>
      </x:right>
      <x:top style="thin">
        <x:color rgb="FFE8EDF4"/>
      </x:top>
    </x:border>
    <x:border>
      <x:left style="thin">
        <x:color rgb="FFE8EDF4"/>
      </x:left>
      <x:top style="thin">
        <x:color rgb="FFE8EDF4"/>
      </x:top>
    </x:border>
    <x:border>
      <x:right style="thin">
        <x:color rgb="FFE8EDF4"/>
      </x:right>
    </x:border>
    <x:border>
      <x:left style="thin">
        <x:color rgb="FFE8EDF4"/>
      </x:left>
      <x:right style="thin">
        <x:color rgb="FFE8EDF4"/>
      </x:right>
    </x:border>
    <x:border>
      <x:left style="thin">
        <x:color rgb="FFE8EDF4"/>
      </x:left>
    </x:border>
    <x:border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top style="thin">
        <x:color rgb="FFE8EDF4"/>
      </x:top>
      <x:bottom style="thin">
        <x:color rgb="FFE8EDF4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201" fontId="4" fillId="5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202" fontId="4" fillId="0" borderId="9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3" fontId="4" fillId="0" borderId="9" xfId="0" applyNumberFormat="1" applyFont="1" applyFill="1" applyBorder="1" applyAlignment="1">
      <x:alignment vertical="center" wrapText="1"/>
    </x:xf>
    <x:xf numFmtId="204" fontId="4" fillId="0" borderId="10" xfId="0" applyNumberFormat="1" applyFont="1" applyFill="1" applyBorder="1" applyAlignment="1">
      <x:alignment vertical="center" wrapText="1"/>
    </x:xf>
    <x:xf numFmtId="200" fontId="4" fillId="5" borderId="9" xfId="0" applyNumberFormat="1" applyFont="1" applyFill="1" applyBorder="1" applyAlignment="1">
      <x:alignment vertical="center" wrapText="1"/>
    </x:xf>
    <x:xf numFmtId="201" fontId="4" fillId="5" borderId="9" xfId="0" applyNumberFormat="1" applyFont="1" applyFill="1" applyBorder="1" applyAlignment="1">
      <x:alignment vertical="center" wrapText="1"/>
    </x:xf>
    <x:xf numFmtId="203" fontId="4" fillId="5" borderId="9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200" fontId="4" fillId="0" borderId="12" xfId="0" applyNumberFormat="1" applyFont="1" applyFill="1" applyBorder="1" applyAlignment="1">
      <x:alignment vertical="center" wrapText="1"/>
    </x:xf>
    <x:xf numFmtId="204" fontId="4" fillId="0" borderId="3" xfId="0" applyNumberFormat="1" applyFont="1" applyFill="1" applyBorder="1" applyAlignment="1">
      <x:alignment vertical="center" wrapText="1"/>
    </x:xf>
    <x:xf numFmtId="204" fontId="4" fillId="0" borderId="12" xfId="0" applyNumberFormat="1" applyFont="1" applyFill="1" applyBorder="1" applyAlignment="1">
      <x:alignment vertical="center" wrapText="1"/>
    </x:xf>
    <x:xf numFmtId="204" fontId="4" fillId="0" borderId="6" xfId="0" applyNumberFormat="1" applyFont="1" applyFill="1" applyBorder="1" applyAlignment="1">
      <x:alignment vertical="center" wrapText="1"/>
    </x:xf>
    <x:xf numFmtId="204" fontId="4" fillId="0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5707320614ef9" /><Relationship Type="http://schemas.openxmlformats.org/officeDocument/2006/relationships/theme" Target="/xl/theme/theme1.xml" Id="R94efd35e896648ef" /><Relationship Type="http://schemas.openxmlformats.org/officeDocument/2006/relationships/sharedStrings" Target="/xl/sharedStrings.xml" Id="R429b7162f6ee4469" /><Relationship Type="http://schemas.openxmlformats.org/officeDocument/2006/relationships/worksheet" Target="/xl/worksheets/sheet1.xml" Id="Ra50b04ebee984b9a" /><Relationship Type="http://schemas.openxmlformats.org/officeDocument/2006/relationships/worksheet" Target="/xl/worksheets/sheet2.xml" Id="R5ccf49f036e145d4" /><Relationship Type="http://schemas.openxmlformats.org/officeDocument/2006/relationships/worksheet" Target="/xl/worksheets/sheet3.xml" Id="Raf6e0763743f4e06" /><Relationship Type="http://schemas.openxmlformats.org/officeDocument/2006/relationships/worksheet" Target="/xl/worksheets/sheet4.xml" Id="R92b6b41cd07d49de" /><Relationship Type="http://schemas.openxmlformats.org/officeDocument/2006/relationships/worksheet" Target="/xl/worksheets/sheet5.xml" Id="Rdf9192d4e6394d53" /></Relationships>
</file>

<file path=xl/tables/table1.xml><?xml version="1.0" encoding="utf-8"?>
<x:table xmlns:x="http://schemas.openxmlformats.org/spreadsheetml/2006/main" id="2" name="ActivityExecutionTable" displayName="ActivityExecutionTable" ref="A5:T6" headerRowCount="1" totalsRowCount="0" totalsRowShown="0">
  <x:autoFilter ref="A5:T6"/>
  <x:tableColumns count="20">
    <x:tableColumn id="1" name="活动记录ID"/>
    <x:tableColumn id="2" name="特价活动开始日期"/>
    <x:tableColumn id="3" name="特价活动结束日期"/>
    <x:tableColumn id="4" name="实际活动门店数"/>
    <x:tableColumn id="5" name="实际活动天数"/>
    <x:tableColumn id="6" name="实际变价补差（元）"/>
    <x:tableColumn id="7" name="实际海报费（元）"/>
    <x:tableColumn id="8" name="实际费用合计（元）"/>
    <x:tableColumn id="9" name="我司实际承担部分合计（元）"/>
    <x:tableColumn id="10" name="我司承担比例"/>
    <x:tableColumn id="11" name="实际促销POS额（元）"/>
    <x:tableColumn id="12" name="费销比"/>
    <x:tableColumn id="13" name="销售数据结案表文件名"/>
    <x:tableColumn id="14" name="备注说明"/>
    <x:tableColumn id="15" name="扣减金额（元）"/>
    <x:tableColumn id="16" name="上账金额（元）"/>
    <x:tableColumn id="17" name="扣减原因"/>
    <x:tableColumn id="18" name="单据状态"/>
    <x:tableColumn id="19" name="创建人"/>
    <x:tableColumn id="20" name="创建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ctivityProductsTable" displayName="ActivityProductsTable" ref="A5:I7" headerRowCount="1" totalsRowCount="0" totalsRowShown="0">
  <x:autoFilter ref="A5:I7"/>
  <x:tableColumns count="9">
    <x:tableColumn id="1" name="活动记录ID"/>
    <x:tableColumn id="2" name="序号"/>
    <x:tableColumn id="3" name="商品名称"/>
    <x:tableColumn id="4" name="商品单位"/>
    <x:tableColumn id="5" name="实际销量"/>
    <x:tableColumn id="6" name="正常销售单价（元）"/>
    <x:tableColumn id="7" name="促销补差单价（元）"/>
    <x:tableColumn id="8" name="实际变价补差金额（元）"/>
    <x:tableColumn id="9" name="POS销售额（元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yAttachmentsTable" displayName="ActivityAttachmentsTable" ref="A5:J10" headerRowCount="1" totalsRowCount="0" totalsRowShown="0">
  <x:autoFilter ref="A5:J10"/>
  <x:tableColumns count="10">
    <x:tableColumn id="1" name="活动记录ID"/>
    <x:tableColumn id="2" name="序号"/>
    <x:tableColumn id="3" name="附件分类"/>
    <x:tableColumn id="4" name="文件名称"/>
    <x:tableColumn id="5" name="文件格式"/>
    <x:tableColumn id="6" name="是否水印"/>
    <x:tableColumn id="7" name="上传状态"/>
    <x:tableColumn id="8" name="文件URL/存储路径"/>
    <x:tableColumn id="9" name="上传时间"/>
    <x:tableColumn id="10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ityLogsTable" displayName="ActivityLogsTable" ref="A5:G6" headerRowCount="1" totalsRowCount="0" totalsRowShown="0">
  <x:autoFilter ref="A5:G6"/>
  <x:tableColumns count="7">
    <x:tableColumn id="1" name="活动记录ID"/>
    <x:tableColumn id="2" name="日志序号"/>
    <x:tableColumn id="3" name="操作人"/>
    <x:tableColumn id="4" name="操作类型"/>
    <x:tableColumn id="5" name="操作结果"/>
    <x:tableColumn id="6" name="操作时间"/>
    <x:tableColumn id="7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ivityFieldGuideTable" displayName="ActivityFieldGuideTable" ref="A3:G24" headerRowCount="1" totalsRowCount="0" totalsRowShown="0">
  <x:autoFilter ref="A3:G24"/>
  <x:tableColumns count="7">
    <x:tableColumn id="1" name="所属Sheet"/>
    <x:tableColumn id="2" name="字段名"/>
    <x:tableColumn id="3" name="数据类型"/>
    <x:tableColumn id="4" name="是否必填"/>
    <x:tableColumn id="5" name="说明"/>
    <x:tableColumn id="6" name="计算/导出规则"/>
    <x:tableColumn id="7" name="截图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ae723beac444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4692b296d643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f21d80fbd549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12fe8fa0a148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b4c05d05e74d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7" hidden="0" customWidth="1"/>
    <x:col min="5" max="5" width="15" hidden="0" customWidth="1"/>
    <x:col min="6" max="6" width="19" hidden="0" customWidth="1"/>
    <x:col min="7" max="7" width="17" hidden="0" customWidth="1"/>
    <x:col min="8" max="8" width="19" hidden="0" customWidth="1"/>
    <x:col min="9" max="9" width="25" hidden="0" customWidth="1"/>
    <x:col min="10" max="10" width="15" hidden="0" customWidth="1"/>
    <x:col min="11" max="11" width="20" hidden="0" customWidth="1"/>
    <x:col min="12" max="12" width="13" hidden="0" customWidth="1"/>
    <x:col min="13" max="13" width="25" hidden="0" customWidth="1"/>
    <x:col min="14" max="14" width="34" hidden="0" customWidth="1"/>
    <x:col min="15" max="15" width="17" hidden="0" customWidth="1"/>
    <x:col min="16" max="16" width="17" hidden="0" customWidth="1"/>
    <x:col min="17" max="17" width="25" hidden="0" customWidth="1"/>
    <x:col min="18" max="18" width="13" hidden="0" customWidth="1"/>
    <x:col min="19" max="19" width="13" hidden="0" customWidth="1"/>
    <x:col min="20" max="20" width="21" hidden="0" customWidth="1"/>
  </x:cols>
  <x:sheetData>
    <x:row r="1" ht="32" customHeight="1">
      <x:c r="A1" s="4" t="str">
        <x:v>特价活动执行情况导出模板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" customHeight="1">
      <x:c r="A2" s="8" t="str">
        <x:v>仅包含截图中的活动执行数据；商品、附件、操作日志位于独立Sheet，并通过活动记录ID关联。灰色列为派生字段。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5" ht="40" customHeight="1">
      <x:c r="A5" s="14" t="str">
        <x:v>活动记录ID</x:v>
      </x:c>
      <x:c r="B5" s="14" t="str">
        <x:v>特价活动开始日期</x:v>
      </x:c>
      <x:c r="C5" s="14" t="str">
        <x:v>特价活动结束日期</x:v>
      </x:c>
      <x:c r="D5" s="14" t="str">
        <x:v>实际活动门店数</x:v>
      </x:c>
      <x:c r="E5" s="14" t="str">
        <x:v>实际活动天数</x:v>
      </x:c>
      <x:c r="F5" s="14" t="str">
        <x:v>实际变价补差（元）</x:v>
      </x:c>
      <x:c r="G5" s="14" t="str">
        <x:v>实际海报费（元）</x:v>
      </x:c>
      <x:c r="H5" s="14" t="str">
        <x:v>实际费用合计（元）</x:v>
      </x:c>
      <x:c r="I5" s="14" t="str">
        <x:v>我司实际承担部分合计（元）</x:v>
      </x:c>
      <x:c r="J5" s="14" t="str">
        <x:v>我司承担比例</x:v>
      </x:c>
      <x:c r="K5" s="14" t="str">
        <x:v>实际促销POS额（元）</x:v>
      </x:c>
      <x:c r="L5" s="14" t="str">
        <x:v>费销比</x:v>
      </x:c>
      <x:c r="M5" s="14" t="str">
        <x:v>销售数据结案表文件名</x:v>
      </x:c>
      <x:c r="N5" s="14" t="str">
        <x:v>备注说明</x:v>
      </x:c>
      <x:c r="O5" s="14" t="str">
        <x:v>扣减金额（元）</x:v>
      </x:c>
      <x:c r="P5" s="14" t="str">
        <x:v>上账金额（元）</x:v>
      </x:c>
      <x:c r="Q5" s="14" t="str">
        <x:v>扣减原因</x:v>
      </x:c>
      <x:c r="R5" s="14" t="str">
        <x:v>单据状态</x:v>
      </x:c>
      <x:c r="S5" s="14" t="str">
        <x:v>创建人</x:v>
      </x:c>
      <x:c r="T5" s="14" t="str">
        <x:v>创建时间</x:v>
      </x:c>
    </x:row>
    <x:row r="6">
      <x:c r="A6" s="50" t="str">
        <x:v>ACT-20260213-001</x:v>
      </x:c>
      <x:c r="B6" s="53" t="n">
        <x:v>46066</x:v>
      </x:c>
      <x:c r="C6" s="53" t="n">
        <x:v>46066</x:v>
      </x:c>
      <x:c r="D6" s="54" t="n">
        <x:v>2</x:v>
      </x:c>
      <x:c r="E6" s="58" t="n">
        <x:f>C6-B6+1</x:f>
        <x:v>1</x:v>
      </x:c>
      <x:c r="F6" s="59" t="n">
        <x:f>SUMIFS('活动品项'!$H$6:$H$205,'活动品项'!$A$6:$A$205,A6)</x:f>
        <x:v>1531.8999999999999</x:v>
      </x:c>
      <x:c r="G6" s="55" t="n">
        <x:v>1234.12</x:v>
      </x:c>
      <x:c r="H6" s="59" t="n">
        <x:f>F6+G6</x:f>
        <x:v>2766.0199999999995</x:v>
      </x:c>
      <x:c r="I6" s="55" t="n">
        <x:v>2214.56</x:v>
      </x:c>
      <x:c r="J6" s="60" t="n">
        <x:f>IFERROR(I6/H6,0)</x:f>
        <x:v>0.8006305088177238</x:v>
      </x:c>
      <x:c r="K6" s="59" t="n">
        <x:f>SUMIFS('活动品项'!$I$6:$I$205,'活动品项'!$A$6:$A$205,A6)</x:f>
        <x:v>5867.4</x:v>
      </x:c>
      <x:c r="L6" s="60" t="n">
        <x:f>IFERROR(I6/K6,0)</x:f>
        <x:v>0.3774346388519617</x:v>
      </x:c>
      <x:c r="M6" s="51" t="str">
        <x:v>订单列表(12).xls</x:v>
      </x:c>
      <x:c r="N6" s="51"/>
      <x:c r="O6" s="55" t="n">
        <x:v>700.99</x:v>
      </x:c>
      <x:c r="P6" s="59" t="n">
        <x:f>I6-O6</x:f>
        <x:v>1513.57</x:v>
      </x:c>
      <x:c r="Q6" s="51" t="str">
        <x:v>662+52</x:v>
      </x:c>
      <x:c r="R6" s="51" t="str">
        <x:v>待审核</x:v>
      </x:c>
      <x:c r="S6" s="51" t="str">
        <x:v>钱佳音</x:v>
      </x:c>
      <x:c r="T6" s="57" t="n">
        <x:v>46089.096724537034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a1ae723beac444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48" hidden="0" customWidth="1"/>
    <x:col min="4" max="4" width="12" hidden="0" customWidth="1"/>
    <x:col min="5" max="5" width="13" hidden="0" customWidth="1"/>
    <x:col min="6" max="6" width="18" hidden="0" customWidth="1"/>
    <x:col min="7" max="7" width="19" hidden="0" customWidth="1"/>
    <x:col min="8" max="8" width="23" hidden="0" customWidth="1"/>
    <x:col min="9" max="9" width="18" hidden="0" customWidth="1"/>
  </x:cols>
  <x:sheetData>
    <x:row r="1" ht="32" customHeight="1">
      <x:c r="A1" s="4" t="str">
        <x:v>特价活动品项导出模板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商品数量不固定：每个商品导出一行，通过活动记录ID关联执行情况汇总。灰色列为公式计算示例。</x:v>
      </x:c>
      <x:c r="B2" s="8"/>
      <x:c r="C2" s="8"/>
      <x:c r="D2" s="8"/>
      <x:c r="E2" s="8"/>
      <x:c r="F2" s="8"/>
      <x:c r="G2" s="8"/>
      <x:c r="H2" s="8"/>
      <x:c r="I2" s="8"/>
    </x:row>
    <x:row r="5" ht="40" customHeight="1">
      <x:c r="A5" s="14" t="str">
        <x:v>活动记录ID</x:v>
      </x:c>
      <x:c r="B5" s="14" t="str">
        <x:v>序号</x:v>
      </x:c>
      <x:c r="C5" s="14" t="str">
        <x:v>商品名称</x:v>
      </x:c>
      <x:c r="D5" s="14" t="str">
        <x:v>商品单位</x:v>
      </x:c>
      <x:c r="E5" s="14" t="str">
        <x:v>实际销量</x:v>
      </x:c>
      <x:c r="F5" s="14" t="str">
        <x:v>正常销售单价（元）</x:v>
      </x:c>
      <x:c r="G5" s="14" t="str">
        <x:v>促销补差单价（元）</x:v>
      </x:c>
      <x:c r="H5" s="14" t="str">
        <x:v>实际变价补差金额（元）</x:v>
      </x:c>
      <x:c r="I5" s="14" t="str">
        <x:v>POS销售额（元）</x:v>
      </x:c>
    </x:row>
    <x:row r="6">
      <x:c r="A6" s="28" t="str">
        <x:v>ACT-20260213-001</x:v>
      </x:c>
      <x:c r="B6" s="34" t="n">
        <x:v>1</x:v>
      </x:c>
      <x:c r="C6" s="29" t="str">
        <x:v>虎皮鸡爪·脱骨装-300克-香辣（冷藏）9个月（85%-虎皮冷藏-罐）</x:v>
      </x:c>
      <x:c r="D6" s="29" t="str">
        <x:v>罐</x:v>
      </x:c>
      <x:c r="E6" s="36" t="n">
        <x:v>120</x:v>
      </x:c>
      <x:c r="F6" s="36" t="n">
        <x:v>18.88</x:v>
      </x:c>
      <x:c r="G6" s="36" t="n">
        <x:v>7.84</x:v>
      </x:c>
      <x:c r="H6" s="40" t="n">
        <x:f>E6*G6</x:f>
        <x:v>940.8</x:v>
      </x:c>
      <x:c r="I6" s="41" t="n">
        <x:f>E6*F6</x:f>
        <x:v>2265.6</x:v>
      </x:c>
    </x:row>
    <x:row r="7">
      <x:c r="A7" s="31" t="str">
        <x:v>ACT-20260213-001</x:v>
      </x:c>
      <x:c r="B7" s="35" t="n">
        <x:v>2</x:v>
      </x:c>
      <x:c r="C7" s="32" t="str">
        <x:v>鸡爪test111（70%-无骨-冷藏-袋）</x:v>
      </x:c>
      <x:c r="D7" s="32" t="str">
        <x:v>袋</x:v>
      </x:c>
      <x:c r="E7" s="37" t="n">
        <x:v>230</x:v>
      </x:c>
      <x:c r="F7" s="37" t="n">
        <x:v>15.66</x:v>
      </x:c>
      <x:c r="G7" s="37" t="n">
        <x:v>2.57</x:v>
      </x:c>
      <x:c r="H7" s="42" t="n">
        <x:f>E7*G7</x:f>
        <x:v>591.0999999999999</x:v>
      </x:c>
      <x:c r="I7" s="43" t="n">
        <x:f>E7*F7</x:f>
        <x:v>3601.8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44692b296d643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31" hidden="0" customWidth="1"/>
    <x:col min="4" max="4" width="25" hidden="0" customWidth="1"/>
    <x:col min="5" max="5" width="12" hidden="0" customWidth="1"/>
    <x:col min="6" max="6" width="12" hidden="0" customWidth="1"/>
    <x:col min="7" max="7" width="14" hidden="0" customWidth="1"/>
    <x:col min="8" max="8" width="54" hidden="0" customWidth="1"/>
    <x:col min="9" max="9" width="21" hidden="0" customWidth="1"/>
    <x:col min="10" max="10" width="28" hidden="0" customWidth="1"/>
  </x:cols>
  <x:sheetData>
    <x:row r="1" ht="32" customHeight="1">
      <x:c r="A1" s="4" t="str">
        <x:v>特价活动附件清单导出模板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附件数量不固定：一份文件导出一行。建议导出文件名和受控访问地址，不把原始图片直接嵌入Excel。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5" ht="40" customHeight="1">
      <x:c r="A5" s="14" t="str">
        <x:v>活动记录ID</x:v>
      </x:c>
      <x:c r="B5" s="14" t="str">
        <x:v>序号</x:v>
      </x:c>
      <x:c r="C5" s="14" t="str">
        <x:v>附件分类</x:v>
      </x:c>
      <x:c r="D5" s="14" t="str">
        <x:v>文件名称</x:v>
      </x:c>
      <x:c r="E5" s="14" t="str">
        <x:v>文件格式</x:v>
      </x:c>
      <x:c r="F5" s="14" t="str">
        <x:v>是否水印</x:v>
      </x:c>
      <x:c r="G5" s="14" t="str">
        <x:v>上传状态</x:v>
      </x:c>
      <x:c r="H5" s="14" t="str">
        <x:v>文件URL/存储路径</x:v>
      </x:c>
      <x:c r="I5" s="14" t="str">
        <x:v>上传时间</x:v>
      </x:c>
      <x:c r="J5" s="14" t="str">
        <x:v>备注</x:v>
      </x:c>
    </x:row>
    <x:row r="6">
      <x:c r="A6" s="28" t="str">
        <x:v>ACT-20260213-001</x:v>
      </x:c>
      <x:c r="B6" s="34" t="n">
        <x:v>1</x:v>
      </x:c>
      <x:c r="C6" s="29" t="str">
        <x:v>销售数据结案表</x:v>
      </x:c>
      <x:c r="D6" s="29" t="str">
        <x:v>订单列表(12).xls</x:v>
      </x:c>
      <x:c r="E6" s="29" t="str">
        <x:v>xls</x:v>
      </x:c>
      <x:c r="F6" s="29" t="str">
        <x:v>否</x:v>
      </x:c>
      <x:c r="G6" s="29" t="str">
        <x:v>已上传</x:v>
      </x:c>
      <x:c r="H6" s="29" t="str">
        <x:v>/files/activity/ACT-20260213-001/订单列表(12).xls</x:v>
      </x:c>
      <x:c r="I6" s="71" t="n">
        <x:v>46089.09027777778</x:v>
      </x:c>
      <x:c r="J6" s="30" t="str">
        <x:v>必传</x:v>
      </x:c>
    </x:row>
    <x:row r="7">
      <x:c r="A7" s="67" t="str">
        <x:v>ACT-20260213-001</x:v>
      </x:c>
      <x:c r="B7" s="70" t="n">
        <x:v>2</x:v>
      </x:c>
      <x:c r="C7" s="68" t="str">
        <x:v>促销变价补差系统扣款凭证</x:v>
      </x:c>
      <x:c r="D7" s="68" t="str">
        <x:v>扣款凭证.jpg</x:v>
      </x:c>
      <x:c r="E7" s="68" t="str">
        <x:v>jpg</x:v>
      </x:c>
      <x:c r="F7" s="68" t="str">
        <x:v>是</x:v>
      </x:c>
      <x:c r="G7" s="68" t="str">
        <x:v>已上传</x:v>
      </x:c>
      <x:c r="H7" s="68" t="str">
        <x:v>/files/activity/ACT-20260213-001/扣款凭证.jpg</x:v>
      </x:c>
      <x:c r="I7" s="72" t="n">
        <x:v>46089.09166666667</x:v>
      </x:c>
      <x:c r="J7" s="69" t="str">
        <x:v>图片需带水印</x:v>
      </x:c>
    </x:row>
    <x:row r="8">
      <x:c r="A8" s="67" t="str">
        <x:v>ACT-20260213-001</x:v>
      </x:c>
      <x:c r="B8" s="70" t="n">
        <x:v>3</x:v>
      </x:c>
      <x:c r="C8" s="68" t="str">
        <x:v>价签卡照片</x:v>
      </x:c>
      <x:c r="D8" s="68" t="str">
        <x:v>价签卡照片.jpg</x:v>
      </x:c>
      <x:c r="E8" s="68" t="str">
        <x:v>jpg</x:v>
      </x:c>
      <x:c r="F8" s="68" t="str">
        <x:v>是</x:v>
      </x:c>
      <x:c r="G8" s="68" t="str">
        <x:v>已上传</x:v>
      </x:c>
      <x:c r="H8" s="68" t="str">
        <x:v>/files/activity/ACT-20260213-001/价签卡照片.jpg</x:v>
      </x:c>
      <x:c r="I8" s="72" t="n">
        <x:v>46089.092361111114</x:v>
      </x:c>
      <x:c r="J8" s="69" t="str">
        <x:v>图片需带水印</x:v>
      </x:c>
    </x:row>
    <x:row r="9">
      <x:c r="A9" s="67" t="str">
        <x:v>ACT-20260213-001</x:v>
      </x:c>
      <x:c r="B9" s="70" t="n">
        <x:v>4</x:v>
      </x:c>
      <x:c r="C9" s="68" t="str">
        <x:v>DM海报原件或复印件</x:v>
      </x:c>
      <x:c r="D9" s="68" t="str">
        <x:v>DM海报.jpg</x:v>
      </x:c>
      <x:c r="E9" s="68" t="str">
        <x:v>jpg</x:v>
      </x:c>
      <x:c r="F9" s="68" t="str">
        <x:v>是</x:v>
      </x:c>
      <x:c r="G9" s="68" t="str">
        <x:v>已上传</x:v>
      </x:c>
      <x:c r="H9" s="68" t="str">
        <x:v>/files/activity/ACT-20260213-001/DM海报.jpg</x:v>
      </x:c>
      <x:c r="I9" s="72" t="n">
        <x:v>46089.09305555555</x:v>
      </x:c>
      <x:c r="J9" s="69" t="str">
        <x:v>存在海报费用时必传</x:v>
      </x:c>
    </x:row>
    <x:row r="10">
      <x:c r="A10" s="31" t="str">
        <x:v>ACT-20260213-001</x:v>
      </x:c>
      <x:c r="B10" s="35" t="n">
        <x:v>5</x:v>
      </x:c>
      <x:c r="C10" s="32" t="str">
        <x:v>档期陈列照片</x:v>
      </x:c>
      <x:c r="D10" s="32"/>
      <x:c r="E10" s="32"/>
      <x:c r="F10" s="32" t="str">
        <x:v>是</x:v>
      </x:c>
      <x:c r="G10" s="32" t="str">
        <x:v>未上传</x:v>
      </x:c>
      <x:c r="H10" s="32"/>
      <x:c r="I10" s="73"/>
      <x:c r="J10" s="33" t="str">
        <x:v>截图中暂未上传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8f21d80fbd549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5" hidden="0" customWidth="1"/>
    <x:col min="5" max="5" width="14" hidden="0" customWidth="1"/>
    <x:col min="6" max="6" width="21" hidden="0" customWidth="1"/>
    <x:col min="7" max="7" width="36" hidden="0" customWidth="1"/>
  </x:cols>
  <x:sheetData>
    <x:row r="1" ht="32" customHeight="1">
      <x:c r="A1" s="4" t="str">
        <x:v>特价活动操作日志导出模板</x:v>
      </x:c>
      <x:c r="B1" s="4"/>
      <x:c r="C1" s="4"/>
      <x:c r="D1" s="4"/>
      <x:c r="E1" s="4"/>
      <x:c r="F1" s="4"/>
      <x:c r="G1" s="4"/>
    </x:row>
    <x:row r="2" ht="28" customHeight="1">
      <x:c r="A2" s="8" t="str">
        <x:v>创建、编辑、提交、审核、驳回等动作分别占一行，通过活动记录ID关联执行情况。</x:v>
      </x:c>
      <x:c r="B2" s="8"/>
      <x:c r="C2" s="8"/>
      <x:c r="D2" s="8"/>
      <x:c r="E2" s="8"/>
      <x:c r="F2" s="8"/>
      <x:c r="G2" s="8"/>
    </x:row>
    <x:row r="5" ht="40" customHeight="1">
      <x:c r="A5" s="14" t="str">
        <x:v>活动记录ID</x:v>
      </x:c>
      <x:c r="B5" s="14" t="str">
        <x:v>日志序号</x:v>
      </x:c>
      <x:c r="C5" s="14" t="str">
        <x:v>操作人</x:v>
      </x:c>
      <x:c r="D5" s="14" t="str">
        <x:v>操作类型</x:v>
      </x:c>
      <x:c r="E5" s="14" t="str">
        <x:v>操作结果</x:v>
      </x:c>
      <x:c r="F5" s="14" t="str">
        <x:v>操作时间</x:v>
      </x:c>
      <x:c r="G5" s="14" t="str">
        <x:v>备注</x:v>
      </x:c>
    </x:row>
    <x:row r="6">
      <x:c r="A6" s="50" t="str">
        <x:v>ACT-20260213-001</x:v>
      </x:c>
      <x:c r="B6" s="54" t="n">
        <x:v>1</x:v>
      </x:c>
      <x:c r="C6" s="51" t="str">
        <x:v>钱佳音</x:v>
      </x:c>
      <x:c r="D6" s="51" t="str">
        <x:v>创建</x:v>
      </x:c>
      <x:c r="E6" s="51" t="str">
        <x:v>成功</x:v>
      </x:c>
      <x:c r="F6" s="74" t="n">
        <x:v>46089.096724537034</x:v>
      </x:c>
      <x:c r="G6" s="52" t="str">
        <x:v>截图中的操作日志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d12fe8fa0a148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4" hidden="0" customWidth="1"/>
    <x:col min="5" max="5" width="34" hidden="0" customWidth="1"/>
    <x:col min="6" max="6" width="47" hidden="0" customWidth="1"/>
    <x:col min="7" max="7" width="25" hidden="0" customWidth="1"/>
  </x:cols>
  <x:sheetData>
    <x:row r="1" ht="32" customHeight="1">
      <x:c r="A1" s="4" t="str">
        <x:v>特价活动执行导出字段说明</x:v>
      </x:c>
      <x:c r="B1" s="4"/>
      <x:c r="C1" s="4"/>
      <x:c r="D1" s="4"/>
      <x:c r="E1" s="4"/>
      <x:c r="F1" s="4"/>
      <x:c r="G1" s="4"/>
    </x:row>
    <x:row r="3">
      <x:c r="A3" s="14" t="str">
        <x:v>所属Sheet</x:v>
      </x:c>
      <x:c r="B3" s="14" t="str">
        <x:v>字段名</x:v>
      </x:c>
      <x:c r="C3" s="14" t="str">
        <x:v>数据类型</x:v>
      </x:c>
      <x:c r="D3" s="14" t="str">
        <x:v>是否必填</x:v>
      </x:c>
      <x:c r="E3" s="14" t="str">
        <x:v>说明</x:v>
      </x:c>
      <x:c r="F3" s="14" t="str">
        <x:v>计算/导出规则</x:v>
      </x:c>
      <x:c r="G3" s="14" t="str">
        <x:v>截图示例</x:v>
      </x:c>
    </x:row>
    <x:row r="4">
      <x:c r="A4" s="28" t="str">
        <x:v>执行情况汇总</x:v>
      </x:c>
      <x:c r="B4" s="29" t="str">
        <x:v>活动记录ID</x:v>
      </x:c>
      <x:c r="C4" s="29" t="str">
        <x:v>文本</x:v>
      </x:c>
      <x:c r="D4" s="29" t="str">
        <x:v>是</x:v>
      </x:c>
      <x:c r="E4" s="29" t="str">
        <x:v>四张数据表的关联主键</x:v>
      </x:c>
      <x:c r="F4" s="29" t="str">
        <x:v>同一活动保持一致</x:v>
      </x:c>
      <x:c r="G4" s="30" t="str">
        <x:v>ACT-20260213-001</x:v>
      </x:c>
    </x:row>
    <x:row r="5">
      <x:c r="A5" s="67" t="str">
        <x:v>执行情况汇总</x:v>
      </x:c>
      <x:c r="B5" s="68" t="str">
        <x:v>特价活动开始/结束日期</x:v>
      </x:c>
      <x:c r="C5" s="68" t="str">
        <x:v>日期</x:v>
      </x:c>
      <x:c r="D5" s="68" t="str">
        <x:v>是</x:v>
      </x:c>
      <x:c r="E5" s="68" t="str">
        <x:v>截图中的特价活动时间</x:v>
      </x:c>
      <x:c r="F5" s="68" t="str">
        <x:v>拆成开始、结束两列</x:v>
      </x:c>
      <x:c r="G5" s="69" t="str">
        <x:v>2026-02-13</x:v>
      </x:c>
    </x:row>
    <x:row r="6">
      <x:c r="A6" s="67" t="str">
        <x:v>执行情况汇总</x:v>
      </x:c>
      <x:c r="B6" s="68" t="str">
        <x:v>实际活动门店数</x:v>
      </x:c>
      <x:c r="C6" s="68" t="str">
        <x:v>整数</x:v>
      </x:c>
      <x:c r="D6" s="68" t="str">
        <x:v>是</x:v>
      </x:c>
      <x:c r="E6" s="68" t="str">
        <x:v>实际参与门店数量</x:v>
      </x:c>
      <x:c r="F6" s="68" t="str">
        <x:v>非负整数</x:v>
      </x:c>
      <x:c r="G6" s="69" t="str">
        <x:v>2</x:v>
      </x:c>
    </x:row>
    <x:row r="7">
      <x:c r="A7" s="67" t="str">
        <x:v>执行情况汇总</x:v>
      </x:c>
      <x:c r="B7" s="68" t="str">
        <x:v>实际活动天数</x:v>
      </x:c>
      <x:c r="C7" s="68" t="str">
        <x:v>整数</x:v>
      </x:c>
      <x:c r="D7" s="68" t="str">
        <x:v>派生</x:v>
      </x:c>
      <x:c r="E7" s="68" t="str">
        <x:v>包含首尾日期</x:v>
      </x:c>
      <x:c r="F7" s="68" t="str">
        <x:v>结束日期-开始日期+1</x:v>
      </x:c>
      <x:c r="G7" s="69" t="str">
        <x:v>1</x:v>
      </x:c>
    </x:row>
    <x:row r="8">
      <x:c r="A8" s="67" t="str">
        <x:v>执行情况汇总</x:v>
      </x:c>
      <x:c r="B8" s="68" t="str">
        <x:v>实际变价补差（元）</x:v>
      </x:c>
      <x:c r="C8" s="68" t="str">
        <x:v>金额</x:v>
      </x:c>
      <x:c r="D8" s="68" t="str">
        <x:v>派生</x:v>
      </x:c>
      <x:c r="E8" s="68" t="str">
        <x:v>品项补差金额汇总</x:v>
      </x:c>
      <x:c r="F8" s="68" t="str">
        <x:v>按活动记录ID汇总活动品项</x:v>
      </x:c>
      <x:c r="G8" s="69" t="str">
        <x:v>1531.90</x:v>
      </x:c>
    </x:row>
    <x:row r="9">
      <x:c r="A9" s="67" t="str">
        <x:v>执行情况汇总</x:v>
      </x:c>
      <x:c r="B9" s="68" t="str">
        <x:v>实际海报费（元）</x:v>
      </x:c>
      <x:c r="C9" s="68" t="str">
        <x:v>金额</x:v>
      </x:c>
      <x:c r="D9" s="68" t="str">
        <x:v>按业务</x:v>
      </x:c>
      <x:c r="E9" s="68" t="str">
        <x:v>实际发生的海报费</x:v>
      </x:c>
      <x:c r="F9" s="68" t="str">
        <x:v>存在费用时需有DM海报附件</x:v>
      </x:c>
      <x:c r="G9" s="69" t="str">
        <x:v>1234.12</x:v>
      </x:c>
    </x:row>
    <x:row r="10">
      <x:c r="A10" s="67" t="str">
        <x:v>执行情况汇总</x:v>
      </x:c>
      <x:c r="B10" s="68" t="str">
        <x:v>实际费用合计（元）</x:v>
      </x:c>
      <x:c r="C10" s="68" t="str">
        <x:v>金额</x:v>
      </x:c>
      <x:c r="D10" s="68" t="str">
        <x:v>派生</x:v>
      </x:c>
      <x:c r="E10" s="68" t="str">
        <x:v>活动费用合计</x:v>
      </x:c>
      <x:c r="F10" s="68" t="str">
        <x:v>变价补差+海报费</x:v>
      </x:c>
      <x:c r="G10" s="69" t="str">
        <x:v>2766.02</x:v>
      </x:c>
    </x:row>
    <x:row r="11">
      <x:c r="A11" s="67" t="str">
        <x:v>执行情况汇总</x:v>
      </x:c>
      <x:c r="B11" s="68" t="str">
        <x:v>我司实际承担部分合计（元）</x:v>
      </x:c>
      <x:c r="C11" s="68" t="str">
        <x:v>金额</x:v>
      </x:c>
      <x:c r="D11" s="68" t="str">
        <x:v>是</x:v>
      </x:c>
      <x:c r="E11" s="68" t="str">
        <x:v>我司实际承担金额</x:v>
      </x:c>
      <x:c r="F11" s="68" t="str">
        <x:v>业务确认值</x:v>
      </x:c>
      <x:c r="G11" s="69" t="str">
        <x:v>2214.56</x:v>
      </x:c>
    </x:row>
    <x:row r="12">
      <x:c r="A12" s="67" t="str">
        <x:v>执行情况汇总</x:v>
      </x:c>
      <x:c r="B12" s="68" t="str">
        <x:v>我司承担比例</x:v>
      </x:c>
      <x:c r="C12" s="68" t="str">
        <x:v>百分比</x:v>
      </x:c>
      <x:c r="D12" s="68" t="str">
        <x:v>派生</x:v>
      </x:c>
      <x:c r="E12" s="68" t="str">
        <x:v>承担金额占费用合计比例</x:v>
      </x:c>
      <x:c r="F12" s="68" t="str">
        <x:v>承担合计/费用合计</x:v>
      </x:c>
      <x:c r="G12" s="69" t="str">
        <x:v>80.06%</x:v>
      </x:c>
    </x:row>
    <x:row r="13">
      <x:c r="A13" s="67" t="str">
        <x:v>执行情况汇总</x:v>
      </x:c>
      <x:c r="B13" s="68" t="str">
        <x:v>实际促销POS额（元）</x:v>
      </x:c>
      <x:c r="C13" s="68" t="str">
        <x:v>金额</x:v>
      </x:c>
      <x:c r="D13" s="68" t="str">
        <x:v>派生</x:v>
      </x:c>
      <x:c r="E13" s="68" t="str">
        <x:v>商品POS销售额汇总</x:v>
      </x:c>
      <x:c r="F13" s="68" t="str">
        <x:v>按活动记录ID汇总活动品项</x:v>
      </x:c>
      <x:c r="G13" s="69" t="str">
        <x:v>5867.40</x:v>
      </x:c>
    </x:row>
    <x:row r="14">
      <x:c r="A14" s="67" t="str">
        <x:v>执行情况汇总</x:v>
      </x:c>
      <x:c r="B14" s="68" t="str">
        <x:v>费销比</x:v>
      </x:c>
      <x:c r="C14" s="68" t="str">
        <x:v>百分比</x:v>
      </x:c>
      <x:c r="D14" s="68" t="str">
        <x:v>派生</x:v>
      </x:c>
      <x:c r="E14" s="68" t="str">
        <x:v>承担金额占POS额比例</x:v>
      </x:c>
      <x:c r="F14" s="68" t="str">
        <x:v>承担合计/POS额</x:v>
      </x:c>
      <x:c r="G14" s="69" t="str">
        <x:v>37.74%</x:v>
      </x:c>
    </x:row>
    <x:row r="15">
      <x:c r="A15" s="67" t="str">
        <x:v>执行情况汇总</x:v>
      </x:c>
      <x:c r="B15" s="68" t="str">
        <x:v>销售数据结案表文件名</x:v>
      </x:c>
      <x:c r="C15" s="68" t="str">
        <x:v>文本</x:v>
      </x:c>
      <x:c r="D15" s="68" t="str">
        <x:v>是</x:v>
      </x:c>
      <x:c r="E15" s="68" t="str">
        <x:v>销售数据结案表</x:v>
      </x:c>
      <x:c r="F15" s="68" t="str">
        <x:v>完整文件信息见附件清单</x:v>
      </x:c>
      <x:c r="G15" s="69" t="str">
        <x:v>订单列表(12).xls</x:v>
      </x:c>
    </x:row>
    <x:row r="16">
      <x:c r="A16" s="67" t="str">
        <x:v>执行情况汇总</x:v>
      </x:c>
      <x:c r="B16" s="68" t="str">
        <x:v>扣减金额（元）</x:v>
      </x:c>
      <x:c r="C16" s="68" t="str">
        <x:v>金额</x:v>
      </x:c>
      <x:c r="D16" s="68" t="str">
        <x:v>是</x:v>
      </x:c>
      <x:c r="E16" s="68" t="str">
        <x:v>审核扣减金额</x:v>
      </x:c>
      <x:c r="F16" s="68" t="str">
        <x:v>非负金额</x:v>
      </x:c>
      <x:c r="G16" s="69" t="str">
        <x:v>700.99</x:v>
      </x:c>
    </x:row>
    <x:row r="17">
      <x:c r="A17" s="67" t="str">
        <x:v>执行情况汇总</x:v>
      </x:c>
      <x:c r="B17" s="68" t="str">
        <x:v>上账金额（元）</x:v>
      </x:c>
      <x:c r="C17" s="68" t="str">
        <x:v>金额</x:v>
      </x:c>
      <x:c r="D17" s="68" t="str">
        <x:v>派生</x:v>
      </x:c>
      <x:c r="E17" s="68" t="str">
        <x:v>最终上账金额</x:v>
      </x:c>
      <x:c r="F17" s="68" t="str">
        <x:v>承担合计-扣减金额</x:v>
      </x:c>
      <x:c r="G17" s="69" t="str">
        <x:v>1513.57</x:v>
      </x:c>
    </x:row>
    <x:row r="18">
      <x:c r="A18" s="67" t="str">
        <x:v>执行情况汇总</x:v>
      </x:c>
      <x:c r="B18" s="68" t="str">
        <x:v>扣减原因</x:v>
      </x:c>
      <x:c r="C18" s="68" t="str">
        <x:v>文本</x:v>
      </x:c>
      <x:c r="D18" s="68" t="str">
        <x:v>扣减时是</x:v>
      </x:c>
      <x:c r="E18" s="68" t="str">
        <x:v>扣减原因说明</x:v>
      </x:c>
      <x:c r="F18" s="68" t="str">
        <x:v>扣减金额大于0时必填</x:v>
      </x:c>
      <x:c r="G18" s="69" t="str">
        <x:v>662+52</x:v>
      </x:c>
    </x:row>
    <x:row r="19">
      <x:c r="A19" s="67" t="str">
        <x:v>活动品项</x:v>
      </x:c>
      <x:c r="B19" s="68" t="str">
        <x:v>实际变价补差金额（元）</x:v>
      </x:c>
      <x:c r="C19" s="68" t="str">
        <x:v>金额</x:v>
      </x:c>
      <x:c r="D19" s="68" t="str">
        <x:v>派生</x:v>
      </x:c>
      <x:c r="E19" s="68" t="str">
        <x:v>单品补差金额</x:v>
      </x:c>
      <x:c r="F19" s="68" t="str">
        <x:v>实际销量×促销补差单价</x:v>
      </x:c>
      <x:c r="G19" s="69" t="str">
        <x:v>940.80</x:v>
      </x:c>
    </x:row>
    <x:row r="20">
      <x:c r="A20" s="67" t="str">
        <x:v>活动品项</x:v>
      </x:c>
      <x:c r="B20" s="68" t="str">
        <x:v>POS销售额（元）</x:v>
      </x:c>
      <x:c r="C20" s="68" t="str">
        <x:v>金额</x:v>
      </x:c>
      <x:c r="D20" s="68" t="str">
        <x:v>派生</x:v>
      </x:c>
      <x:c r="E20" s="68" t="str">
        <x:v>单品POS销售额</x:v>
      </x:c>
      <x:c r="F20" s="68" t="str">
        <x:v>实际销量×正常销售单价</x:v>
      </x:c>
      <x:c r="G20" s="69" t="str">
        <x:v>2265.60</x:v>
      </x:c>
    </x:row>
    <x:row r="21">
      <x:c r="A21" s="67" t="str">
        <x:v>附件清单</x:v>
      </x:c>
      <x:c r="B21" s="68" t="str">
        <x:v>附件分类</x:v>
      </x:c>
      <x:c r="C21" s="68" t="str">
        <x:v>枚举</x:v>
      </x:c>
      <x:c r="D21" s="68" t="str">
        <x:v>是</x:v>
      </x:c>
      <x:c r="E21" s="68" t="str">
        <x:v>截图中的五类附件</x:v>
      </x:c>
      <x:c r="F21" s="68" t="str">
        <x:v>同类多文件时每份一行</x:v>
      </x:c>
      <x:c r="G21" s="69" t="str">
        <x:v>价签卡照片</x:v>
      </x:c>
    </x:row>
    <x:row r="22">
      <x:c r="A22" s="67" t="str">
        <x:v>附件清单</x:v>
      </x:c>
      <x:c r="B22" s="68" t="str">
        <x:v>文件URL/存储路径</x:v>
      </x:c>
      <x:c r="C22" s="68" t="str">
        <x:v>文本</x:v>
      </x:c>
      <x:c r="D22" s="68" t="str">
        <x:v>上传时是</x:v>
      </x:c>
      <x:c r="E22" s="68" t="str">
        <x:v>附件访问地址</x:v>
      </x:c>
      <x:c r="F22" s="68" t="str">
        <x:v>建议使用受控URL或系统路径</x:v>
      </x:c>
      <x:c r="G22" s="69" t="str">
        <x:v>/files/activity/...</x:v>
      </x:c>
    </x:row>
    <x:row r="23">
      <x:c r="A23" s="67" t="str">
        <x:v>操作日志</x:v>
      </x:c>
      <x:c r="B23" s="68" t="str">
        <x:v>操作类型</x:v>
      </x:c>
      <x:c r="C23" s="68" t="str">
        <x:v>枚举</x:v>
      </x:c>
      <x:c r="D23" s="68" t="str">
        <x:v>是</x:v>
      </x:c>
      <x:c r="E23" s="68" t="str">
        <x:v>用户操作动作</x:v>
      </x:c>
      <x:c r="F23" s="68" t="str">
        <x:v>创建/编辑/提交/审核/驳回</x:v>
      </x:c>
      <x:c r="G23" s="69" t="str">
        <x:v>创建</x:v>
      </x:c>
    </x:row>
    <x:row r="24">
      <x:c r="A24" s="31" t="str">
        <x:v>操作日志</x:v>
      </x:c>
      <x:c r="B24" s="32" t="str">
        <x:v>操作时间</x:v>
      </x:c>
      <x:c r="C24" s="32" t="str">
        <x:v>日期时间</x:v>
      </x:c>
      <x:c r="D24" s="32" t="str">
        <x:v>是</x:v>
      </x:c>
      <x:c r="E24" s="32" t="str">
        <x:v>动作发生时间</x:v>
      </x:c>
      <x:c r="F24" s="32" t="str">
        <x:v>Excel真实日期时间值</x:v>
      </x:c>
      <x:c r="G24" s="33" t="str">
        <x:v>2026-03-08 10:19:17</x:v>
      </x:c>
    </x:row>
    <x:row r="26">
      <x:c r="A26" s="78" t="str">
        <x:v>导出建议：主表一场活动一行；商品、附件、日志一条记录一行；所有Sheet使用活动记录ID关联。</x:v>
      </x:c>
      <x:c r="B26" s="78"/>
      <x:c r="C26" s="78"/>
      <x:c r="D26" s="78"/>
      <x:c r="E26" s="78"/>
      <x:c r="F26" s="78"/>
      <x:c r="G26" s="78"/>
    </x:row>
  </x:sheetData>
  <x:mergeCells>
    <x:mergeCell ref="A1:G1"/>
    <x:mergeCell ref="A26:G26"/>
  </x:mergeCells>
  <x:pageMargins left="0.7" right="0.7" top="0.75" bottom="0.75" header="0.3" footer="0.3"/>
  <x:tableParts count="1">
    <x:tablePart xmlns:r="http://schemas.openxmlformats.org/officeDocument/2006/relationships" r:id="R2fb4c05d05e74d53"/>
  </x:tableParts>
</x:worksheet>
</file>