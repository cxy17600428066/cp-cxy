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7fa0835ae7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销导出明细" sheetId="1" r:id="R83a9a765d56d4d9e"/>
    <x:sheet xmlns:r="http://schemas.openxmlformats.org/officeDocument/2006/relationships" name="字段说明" sheetId="2" r:id="R3f2c3d7da23f4860"/>
    <x:sheet xmlns:r="http://schemas.openxmlformats.org/officeDocument/2006/relationships" name="活动执行汇总" sheetId="3" r:id="Rc7a552e938914b34"/>
    <x:sheet xmlns:r="http://schemas.openxmlformats.org/officeDocument/2006/relationships" name="活动商品明细" sheetId="4" r:id="R3f9f05d1c00b487f"/>
    <x:sheet xmlns:r="http://schemas.openxmlformats.org/officeDocument/2006/relationships" name="活动附件清单" sheetId="5" r:id="R9e2daed40e6f474a"/>
    <x:sheet xmlns:r="http://schemas.openxmlformats.org/officeDocument/2006/relationships" name="活动操作日志" sheetId="6" r:id="Rb7541c23081f4c93"/>
    <x:sheet xmlns:r="http://schemas.openxmlformats.org/officeDocument/2006/relationships" name="活动字段说明" sheetId="7" r:id="R4f28d5be6813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0%"/>
    <x:numFmt numFmtId="202" formatCode="0"/>
    <x:numFmt numFmtId="203" formatCode="yyyy-mm-dd hh:mm:ss"/>
    <x:numFmt numFmtId="204" formatCode="yyyy-mm-dd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AD6800"/>
      <x:name val="Carlito"/>
    </x:font>
    <x:font>
      <x:sz val="11"/>
      <x:color rgb="FFF56C6C"/>
      <x:name val="Carlito"/>
    </x:font>
    <x:font>
      <x:b/>
      <x:sz val="11"/>
      <x:color rgb="FFFFFFFF"/>
      <x:name val="Carlito"/>
    </x:font>
    <x:font>
      <x:sz val="10"/>
      <x:color rgb="FF303133"/>
      <x:name val="Carlito"/>
    </x:font>
    <x:font>
      <x:b/>
      <x:sz val="10"/>
      <x:color rgb="FF303133"/>
      <x:name val="Microsoft YaHei"/>
    </x:font>
    <x:font>
      <x:sz val="10"/>
      <x:color rgb="FF303133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b/>
      <x:sz val="11"/>
      <x:color rgb="FF1F4E78"/>
      <x:name val="Microsoft YaHei"/>
    </x:font>
    <x:font>
      <x:sz val="11"/>
      <x:color rgb="FF606266"/>
      <x:name val="Microsoft YaHei"/>
    </x:font>
    <x:font>
      <x:b/>
      <x:sz val="11"/>
      <x:color rgb="FFAD6800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7E6"/>
      </x:patternFill>
    </x:fill>
    <x:fill>
      <x:patternFill patternType="solid">
        <x:fgColor rgb="FFFEF0F0"/>
      </x:patternFill>
    </x:fill>
    <x:fill>
      <x:patternFill patternType="solid">
        <x:fgColor rgb="FF409EFF"/>
      </x:patternFill>
    </x:fill>
    <x:fill>
      <x:patternFill patternType="solid">
        <x:fgColor rgb="FFE8F5E9"/>
      </x:patternFill>
    </x:fill>
    <x:fill>
      <x:patternFill patternType="solid">
        <x:fgColor rgb="FFFFF3E0"/>
      </x:patternFill>
    </x:fill>
    <x:fill>
      <x:patternFill patternType="solid">
        <x:fgColor rgb="FFF5F7FA"/>
      </x:patternFill>
    </x:fill>
    <x:fill>
      <x:patternFill patternType="solid">
        <x:fgColor rgb="FFEAF3FF"/>
      </x:patternFill>
    </x:fill>
    <x:fill>
      <x:patternFill patternType="solid">
        <x:fgColor rgb="FFFAFAFA"/>
      </x:patternFill>
    </x:fill>
  </x:fills>
  <x:borders count="14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right style="thin">
        <x:color rgb="FFE8EDF4"/>
      </x:right>
      <x:bottom style="thin">
        <x:color rgb="FFE8EDF4"/>
      </x:bottom>
    </x:border>
    <x:border>
      <x:left style="thin">
        <x:color rgb="FFE8EDF4"/>
      </x:left>
      <x:right style="thin">
        <x:color rgb="FFE8EDF4"/>
      </x:right>
      <x:bottom style="thin">
        <x:color rgb="FFE8EDF4"/>
      </x:bottom>
    </x:border>
    <x:border>
      <x:left style="thin">
        <x:color rgb="FFE8EDF4"/>
      </x:left>
      <x:bottom style="thin">
        <x:color rgb="FFE8EDF4"/>
      </x:bottom>
    </x:border>
    <x:border>
      <x:right style="thin">
        <x:color rgb="FFE8EDF4"/>
      </x:right>
      <x:top style="thin">
        <x:color rgb="FFE8EDF4"/>
      </x:top>
      <x:bottom style="thin">
        <x:color rgb="FFE8EDF4"/>
      </x:bottom>
    </x:border>
    <x:border>
      <x:left style="thin">
        <x:color rgb="FFE8EDF4"/>
      </x:left>
      <x:right style="thin">
        <x:color rgb="FFE8EDF4"/>
      </x:right>
      <x:top style="thin">
        <x:color rgb="FFE8EDF4"/>
      </x:top>
      <x:bottom style="thin">
        <x:color rgb="FFE8EDF4"/>
      </x:bottom>
    </x:border>
    <x:border>
      <x:left style="thin">
        <x:color rgb="FFE8EDF4"/>
      </x:left>
      <x:top style="thin">
        <x:color rgb="FFE8EDF4"/>
      </x:top>
      <x:bottom style="thin">
        <x:color rgb="FFE8EDF4"/>
      </x:bottom>
    </x:border>
    <x:border>
      <x:right style="thin">
        <x:color rgb="FFE8EDF4"/>
      </x:right>
      <x:top style="thin">
        <x:color rgb="FFE8EDF4"/>
      </x:top>
    </x:border>
    <x:border>
      <x:left style="thin">
        <x:color rgb="FFE8EDF4"/>
      </x:left>
      <x:right style="thin">
        <x:color rgb="FFE8EDF4"/>
      </x:right>
      <x:top style="thin">
        <x:color rgb="FFE8EDF4"/>
      </x:top>
    </x:border>
    <x:border>
      <x:left style="thin">
        <x:color rgb="FFE8EDF4"/>
      </x:left>
      <x:top style="thin">
        <x:color rgb="FFE8EDF4"/>
      </x:top>
    </x:border>
    <x:border>
      <x:right style="thin">
        <x:color rgb="FFE8EDF4"/>
      </x:right>
    </x:border>
    <x:border>
      <x:left style="thin">
        <x:color rgb="FFE8EDF4"/>
      </x:left>
      <x:right style="thin">
        <x:color rgb="FFE8EDF4"/>
      </x:right>
    </x:border>
    <x:border>
      <x:left style="thin">
        <x:color rgb="FFE8EDF4"/>
      </x:left>
    </x:border>
  </x:borders>
  <x:cellStyleXfs count="1">
    <x:xf numFmtId="0" fontId="0" fillId="0" borderId="0"/>
  </x:cellStyleXfs>
  <x:cellXfs count="19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left" vertical="center"/>
    </x:xf>
    <x:xf numFmtId="0" fontId="5" fillId="0" borderId="3" xfId="0" applyNumberFormat="1" applyFont="1" applyFill="1" applyBorder="1" applyAlignment="1">
      <x:alignment horizontal="left" vertical="center"/>
    </x:xf>
    <x:xf numFmtId="0" fontId="5" fillId="0" borderId="5" xfId="0" applyNumberFormat="1" applyFont="1" applyFill="1" applyBorder="1" applyAlignment="1">
      <x:alignment horizontal="left" vertical="center"/>
    </x:xf>
    <x:xf numFmtId="0" fontId="5" fillId="0" borderId="6" xfId="0" applyNumberFormat="1" applyFont="1" applyFill="1" applyBorder="1" applyAlignment="1">
      <x:alignment horizontal="left" vertical="center"/>
    </x:xf>
    <x:xf numFmtId="0" fontId="5" fillId="0" borderId="8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horizontal="left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left" vertical="center"/>
    </x:xf>
    <x:xf numFmtId="0" fontId="5" fillId="0" borderId="7" xfId="0" applyNumberFormat="1" applyFont="1" applyFill="1" applyBorder="1" applyAlignment="1">
      <x:alignment horizontal="left" vertical="center"/>
    </x:xf>
    <x:xf numFmtId="0" fontId="5" fillId="0" borderId="10" xfId="0" applyNumberFormat="1" applyFont="1" applyFill="1" applyBorder="1" applyAlignment="1">
      <x:alignment horizontal="left" vertical="center"/>
    </x:xf>
    <x:xf numFmtId="200" fontId="5" fillId="0" borderId="3" xfId="0" applyNumberFormat="1" applyFont="1" applyFill="1" applyBorder="1" applyAlignment="1">
      <x:alignment vertical="center"/>
    </x:xf>
    <x:xf numFmtId="200" fontId="5" fillId="0" borderId="6" xfId="0" applyNumberFormat="1" applyFont="1" applyFill="1" applyBorder="1" applyAlignment="1">
      <x:alignment vertical="center"/>
    </x:xf>
    <x:xf numFmtId="200" fontId="5" fillId="0" borderId="9" xfId="0" applyNumberFormat="1" applyFont="1" applyFill="1" applyBorder="1" applyAlignment="1">
      <x:alignment vertical="center"/>
    </x:xf>
    <x:xf numFmtId="201" fontId="5" fillId="0" borderId="3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5" fillId="0" borderId="9" xfId="0" applyNumberFormat="1" applyFont="1" applyFill="1" applyBorder="1" applyAlignment="1">
      <x:alignment vertical="center"/>
    </x:xf>
    <x:xf numFmtId="202" fontId="5" fillId="0" borderId="3" xfId="0" applyNumberFormat="1" applyFont="1" applyFill="1" applyBorder="1" applyAlignment="1">
      <x:alignment horizontal="center" vertical="center"/>
    </x:xf>
    <x:xf numFmtId="202" fontId="5" fillId="0" borderId="6" xfId="0" applyNumberFormat="1" applyFont="1" applyFill="1" applyBorder="1" applyAlignment="1">
      <x:alignment horizontal="center" vertical="center"/>
    </x:xf>
    <x:xf numFmtId="202" fontId="5" fillId="0" borderId="9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9" xfId="0" applyNumberFormat="1" applyFont="1" applyFill="1" applyBorder="1" applyAlignment="1">
      <x:alignment horizontal="center" vertical="center"/>
    </x:xf>
    <x:xf numFmtId="203" fontId="5" fillId="0" borderId="4" xfId="0" applyNumberFormat="1" applyFont="1" applyFill="1" applyBorder="1" applyAlignment="1">
      <x:alignment horizontal="left" vertical="center"/>
    </x:xf>
    <x:xf numFmtId="203" fontId="5" fillId="0" borderId="7" xfId="0" applyNumberFormat="1" applyFont="1" applyFill="1" applyBorder="1" applyAlignment="1">
      <x:alignment horizontal="left" vertical="center"/>
    </x:xf>
    <x:xf numFmtId="203" fontId="5" fillId="0" borderId="10" xfId="0" applyNumberFormat="1" applyFont="1" applyFill="1" applyBorder="1" applyAlignment="1">
      <x:alignment horizontal="left" vertical="center"/>
    </x:xf>
    <x:xf numFmtId="201" fontId="5" fillId="6" borderId="3" xfId="0" applyNumberFormat="1" applyFont="1" applyFill="1" applyBorder="1" applyAlignment="1">
      <x:alignment horizontal="center" vertical="center"/>
    </x:xf>
    <x:xf numFmtId="201" fontId="5" fillId="6" borderId="6" xfId="0" applyNumberFormat="1" applyFont="1" applyFill="1" applyBorder="1" applyAlignment="1">
      <x:alignment horizontal="center" vertical="center"/>
    </x:xf>
    <x:xf numFmtId="201" fontId="5" fillId="6" borderId="9" xfId="0" applyNumberFormat="1" applyFont="1" applyFill="1" applyBorder="1" applyAlignment="1">
      <x:alignment horizontal="center" vertical="center"/>
    </x:xf>
    <x:xf numFmtId="200" fontId="5" fillId="7" borderId="3" xfId="0" applyNumberFormat="1" applyFont="1" applyFill="1" applyBorder="1" applyAlignment="1">
      <x:alignment vertical="center"/>
    </x:xf>
    <x:xf numFmtId="200" fontId="5" fillId="7" borderId="6" xfId="0" applyNumberFormat="1" applyFont="1" applyFill="1" applyBorder="1" applyAlignment="1">
      <x:alignment vertical="center"/>
    </x:xf>
    <x:xf numFmtId="200" fontId="5" fillId="7" borderId="9" xfId="0" applyNumberFormat="1" applyFont="1" applyFill="1" applyBorder="1" applyAlignment="1">
      <x:alignment vertical="center"/>
    </x:xf>
    <x:xf numFmtId="200" fontId="5" fillId="8" borderId="3" xfId="0" applyNumberFormat="1" applyFont="1" applyFill="1" applyBorder="1" applyAlignment="1">
      <x:alignment vertical="center"/>
    </x:xf>
    <x:xf numFmtId="201" fontId="5" fillId="8" borderId="3" xfId="0" applyNumberFormat="1" applyFont="1" applyFill="1" applyBorder="1" applyAlignment="1">
      <x:alignment vertical="center"/>
    </x:xf>
    <x:xf numFmtId="200" fontId="5" fillId="8" borderId="6" xfId="0" applyNumberFormat="1" applyFont="1" applyFill="1" applyBorder="1" applyAlignment="1">
      <x:alignment vertical="center"/>
    </x:xf>
    <x:xf numFmtId="201" fontId="5" fillId="8" borderId="6" xfId="0" applyNumberFormat="1" applyFont="1" applyFill="1" applyBorder="1" applyAlignment="1">
      <x:alignment vertical="center"/>
    </x:xf>
    <x:xf numFmtId="200" fontId="5" fillId="8" borderId="9" xfId="0" applyNumberFormat="1" applyFont="1" applyFill="1" applyBorder="1" applyAlignment="1">
      <x:alignment vertical="center"/>
    </x:xf>
    <x:xf numFmtId="201" fontId="5" fillId="8" borderId="9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5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 applyAlignment="1">
      <x:alignment horizontal="left" vertical="center"/>
    </x:xf>
    <x:xf numFmtId="0" fontId="7" fillId="0" borderId="3" xfId="0" applyNumberFormat="1" applyFont="1" applyFill="1" applyBorder="1" applyAlignment="1">
      <x:alignment horizontal="left" vertical="center"/>
    </x:xf>
    <x:xf numFmtId="200" fontId="7" fillId="0" borderId="3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horizontal="center" vertical="center"/>
    </x:xf>
    <x:xf numFmtId="202" fontId="7" fillId="0" borderId="3" xfId="0" applyNumberFormat="1" applyFont="1" applyFill="1" applyBorder="1" applyAlignment="1">
      <x:alignment horizontal="center" vertical="center"/>
    </x:xf>
    <x:xf numFmtId="201" fontId="7" fillId="6" borderId="3" xfId="0" applyNumberFormat="1" applyFont="1" applyFill="1" applyBorder="1" applyAlignment="1">
      <x:alignment horizontal="center" vertical="center"/>
    </x:xf>
    <x:xf numFmtId="200" fontId="7" fillId="7" borderId="3" xfId="0" applyNumberFormat="1" applyFont="1" applyFill="1" applyBorder="1" applyAlignment="1">
      <x:alignment vertical="center"/>
    </x:xf>
    <x:xf numFmtId="200" fontId="7" fillId="8" borderId="3" xfId="0" applyNumberFormat="1" applyFont="1" applyFill="1" applyBorder="1" applyAlignment="1">
      <x:alignment vertical="center"/>
    </x:xf>
    <x:xf numFmtId="201" fontId="7" fillId="8" borderId="3" xfId="0" applyNumberFormat="1" applyFont="1" applyFill="1" applyBorder="1" applyAlignment="1">
      <x:alignment vertical="center"/>
    </x:xf>
    <x:xf numFmtId="203" fontId="7" fillId="0" borderId="4" xfId="0" applyNumberFormat="1" applyFont="1" applyFill="1" applyBorder="1" applyAlignment="1">
      <x:alignment horizontal="left" vertical="center"/>
    </x:xf>
    <x:xf numFmtId="0" fontId="7" fillId="0" borderId="5" xfId="0" applyNumberFormat="1" applyFont="1" applyFill="1" applyBorder="1" applyAlignment="1">
      <x:alignment horizontal="left" vertical="center"/>
    </x:xf>
    <x:xf numFmtId="0" fontId="7" fillId="0" borderId="6" xfId="0" applyNumberFormat="1" applyFont="1" applyFill="1" applyBorder="1" applyAlignment="1">
      <x:alignment horizontal="left" vertical="center"/>
    </x:xf>
    <x:xf numFmtId="200" fontId="7" fillId="0" borderId="6" xfId="0" applyNumberFormat="1" applyFont="1" applyFill="1" applyBorder="1" applyAlignment="1">
      <x:alignment vertical="center"/>
    </x:xf>
    <x:xf numFmtId="201" fontId="7" fillId="0" borderId="6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horizontal="center" vertical="center"/>
    </x:xf>
    <x:xf numFmtId="202" fontId="7" fillId="0" borderId="6" xfId="0" applyNumberFormat="1" applyFont="1" applyFill="1" applyBorder="1" applyAlignment="1">
      <x:alignment horizontal="center" vertical="center"/>
    </x:xf>
    <x:xf numFmtId="201" fontId="7" fillId="6" borderId="6" xfId="0" applyNumberFormat="1" applyFont="1" applyFill="1" applyBorder="1" applyAlignment="1">
      <x:alignment horizontal="center" vertical="center"/>
    </x:xf>
    <x:xf numFmtId="200" fontId="7" fillId="7" borderId="6" xfId="0" applyNumberFormat="1" applyFont="1" applyFill="1" applyBorder="1" applyAlignment="1">
      <x:alignment vertical="center"/>
    </x:xf>
    <x:xf numFmtId="200" fontId="7" fillId="8" borderId="6" xfId="0" applyNumberFormat="1" applyFont="1" applyFill="1" applyBorder="1" applyAlignment="1">
      <x:alignment vertical="center"/>
    </x:xf>
    <x:xf numFmtId="201" fontId="7" fillId="8" borderId="6" xfId="0" applyNumberFormat="1" applyFont="1" applyFill="1" applyBorder="1" applyAlignment="1">
      <x:alignment vertical="center"/>
    </x:xf>
    <x:xf numFmtId="203" fontId="7" fillId="0" borderId="7" xfId="0" applyNumberFormat="1" applyFont="1" applyFill="1" applyBorder="1" applyAlignment="1">
      <x:alignment horizontal="left" vertical="center"/>
    </x:xf>
    <x:xf numFmtId="0" fontId="7" fillId="0" borderId="8" xfId="0" applyNumberFormat="1" applyFont="1" applyFill="1" applyBorder="1" applyAlignment="1">
      <x:alignment horizontal="left" vertical="center"/>
    </x:xf>
    <x:xf numFmtId="0" fontId="7" fillId="0" borderId="9" xfId="0" applyNumberFormat="1" applyFont="1" applyFill="1" applyBorder="1" applyAlignment="1">
      <x:alignment horizontal="left" vertical="center"/>
    </x:xf>
    <x:xf numFmtId="200" fontId="7" fillId="0" borderId="9" xfId="0" applyNumberFormat="1" applyFont="1" applyFill="1" applyBorder="1" applyAlignment="1">
      <x:alignment vertical="center"/>
    </x:xf>
    <x:xf numFmtId="201" fontId="7" fillId="0" borderId="9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horizontal="center" vertical="center"/>
    </x:xf>
    <x:xf numFmtId="202" fontId="7" fillId="0" borderId="9" xfId="0" applyNumberFormat="1" applyFont="1" applyFill="1" applyBorder="1" applyAlignment="1">
      <x:alignment horizontal="center" vertical="center"/>
    </x:xf>
    <x:xf numFmtId="201" fontId="7" fillId="6" borderId="9" xfId="0" applyNumberFormat="1" applyFont="1" applyFill="1" applyBorder="1" applyAlignment="1">
      <x:alignment horizontal="center" vertical="center"/>
    </x:xf>
    <x:xf numFmtId="200" fontId="7" fillId="7" borderId="9" xfId="0" applyNumberFormat="1" applyFont="1" applyFill="1" applyBorder="1" applyAlignment="1">
      <x:alignment vertical="center"/>
    </x:xf>
    <x:xf numFmtId="200" fontId="7" fillId="8" borderId="9" xfId="0" applyNumberFormat="1" applyFont="1" applyFill="1" applyBorder="1" applyAlignment="1">
      <x:alignment vertical="center"/>
    </x:xf>
    <x:xf numFmtId="201" fontId="7" fillId="8" borderId="9" xfId="0" applyNumberFormat="1" applyFont="1" applyFill="1" applyBorder="1" applyAlignment="1">
      <x:alignment vertical="center"/>
    </x:xf>
    <x:xf numFmtId="203" fontId="7" fillId="0" borderId="10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horizont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0" fontId="7" fillId="0" borderId="1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202" fontId="7" fillId="0" borderId="3" xfId="0" applyNumberFormat="1" applyFont="1" applyFill="1" applyBorder="1" applyAlignment="1">
      <x:alignment vertical="center" wrapText="1"/>
    </x:xf>
    <x:xf numFmtId="202" fontId="7" fillId="0" borderId="9" xfId="0" applyNumberFormat="1" applyFont="1" applyFill="1" applyBorder="1" applyAlignment="1">
      <x:alignment vertical="center" wrapText="1"/>
    </x:xf>
    <x:xf numFmtId="200" fontId="7" fillId="0" borderId="3" xfId="0" applyNumberFormat="1" applyFont="1" applyFill="1" applyBorder="1" applyAlignment="1">
      <x:alignment vertical="center" wrapText="1"/>
    </x:xf>
    <x:xf numFmtId="200" fontId="7" fillId="0" borderId="9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vertical="center" wrapText="1"/>
    </x:xf>
    <x:xf numFmtId="200" fontId="7" fillId="0" borderId="10" xfId="0" applyNumberFormat="1" applyFont="1" applyFill="1" applyBorder="1" applyAlignment="1">
      <x:alignment vertical="center" wrapText="1"/>
    </x:xf>
    <x:xf numFmtId="200" fontId="7" fillId="8" borderId="3" xfId="0" applyNumberFormat="1" applyFont="1" applyFill="1" applyBorder="1" applyAlignment="1">
      <x:alignment vertical="center" wrapText="1"/>
    </x:xf>
    <x:xf numFmtId="200" fontId="7" fillId="8" borderId="4" xfId="0" applyNumberFormat="1" applyFont="1" applyFill="1" applyBorder="1" applyAlignment="1">
      <x:alignment vertical="center" wrapText="1"/>
    </x:xf>
    <x:xf numFmtId="200" fontId="7" fillId="8" borderId="9" xfId="0" applyNumberFormat="1" applyFont="1" applyFill="1" applyBorder="1" applyAlignment="1">
      <x:alignment vertical="center" wrapText="1"/>
    </x:xf>
    <x:xf numFmtId="200" fontId="7" fillId="8" borderId="10" xfId="0" applyNumberFormat="1" applyFont="1" applyFill="1" applyBorder="1" applyAlignment="1">
      <x:alignment vertical="center" wrapText="1"/>
    </x:xf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1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vertical="center" wrapText="1"/>
    </x:xf>
    <x:xf numFmtId="0" fontId="7" fillId="0" borderId="12" xfId="0" applyNumberFormat="1" applyFont="1" applyFill="1" applyBorder="1" applyAlignment="1">
      <x:alignment vertical="center" wrapText="1"/>
    </x:xf>
    <x:xf numFmtId="0" fontId="7" fillId="0" borderId="13" xfId="0" applyNumberFormat="1" applyFont="1" applyFill="1" applyBorder="1" applyAlignment="1">
      <x:alignment vertical="center" wrapText="1"/>
    </x:xf>
    <x:xf numFmtId="204" fontId="7" fillId="0" borderId="12" xfId="0" applyNumberFormat="1" applyFont="1" applyFill="1" applyBorder="1" applyAlignment="1">
      <x:alignment vertical="center" wrapText="1"/>
    </x:xf>
    <x:xf numFmtId="202" fontId="7" fillId="0" borderId="12" xfId="0" applyNumberFormat="1" applyFont="1" applyFill="1" applyBorder="1" applyAlignment="1">
      <x:alignment vertical="center" wrapText="1"/>
    </x:xf>
    <x:xf numFmtId="200" fontId="7" fillId="0" borderId="12" xfId="0" applyNumberFormat="1" applyFont="1" applyFill="1" applyBorder="1" applyAlignment="1">
      <x:alignment vertical="center" wrapText="1"/>
    </x:xf>
    <x:xf numFmtId="201" fontId="7" fillId="0" borderId="12" xfId="0" applyNumberFormat="1" applyFont="1" applyFill="1" applyBorder="1" applyAlignment="1">
      <x:alignment vertical="center" wrapText="1"/>
    </x:xf>
    <x:xf numFmtId="203" fontId="7" fillId="0" borderId="13" xfId="0" applyNumberFormat="1" applyFont="1" applyFill="1" applyBorder="1" applyAlignment="1">
      <x:alignment vertical="center" wrapText="1"/>
    </x:xf>
    <x:xf numFmtId="202" fontId="7" fillId="8" borderId="12" xfId="0" applyNumberFormat="1" applyFont="1" applyFill="1" applyBorder="1" applyAlignment="1">
      <x:alignment vertical="center" wrapText="1"/>
    </x:xf>
    <x:xf numFmtId="200" fontId="7" fillId="8" borderId="12" xfId="0" applyNumberFormat="1" applyFont="1" applyFill="1" applyBorder="1" applyAlignment="1">
      <x:alignment vertical="center" wrapText="1"/>
    </x:xf>
    <x:xf numFmtId="201" fontId="7" fillId="8" borderId="12" xfId="0" applyNumberFormat="1" applyFont="1" applyFill="1" applyBorder="1" applyAlignment="1">
      <x:alignment vertical="center" wrapText="1"/>
    </x:xf>
    <x:xf numFmtId="202" fontId="7" fillId="0" borderId="6" xfId="0" applyNumberFormat="1" applyFont="1" applyFill="1" applyBorder="1" applyAlignment="1">
      <x:alignment vertical="center" wrapText="1"/>
    </x:xf>
    <x:xf numFmtId="203" fontId="7" fillId="0" borderId="3" xfId="0" applyNumberFormat="1" applyFont="1" applyFill="1" applyBorder="1" applyAlignment="1">
      <x:alignment vertical="center" wrapText="1"/>
    </x:xf>
    <x:xf numFmtId="203" fontId="7" fillId="0" borderId="6" xfId="0" applyNumberFormat="1" applyFont="1" applyFill="1" applyBorder="1" applyAlignment="1">
      <x:alignment vertical="center" wrapText="1"/>
    </x:xf>
    <x:xf numFmtId="203" fontId="7" fillId="0" borderId="9" xfId="0" applyNumberFormat="1" applyFont="1" applyFill="1" applyBorder="1" applyAlignment="1">
      <x:alignment vertical="center" wrapText="1"/>
    </x:xf>
    <x:xf numFmtId="203" fontId="7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d7e67af4a140f4" /><Relationship Type="http://schemas.openxmlformats.org/officeDocument/2006/relationships/theme" Target="/xl/theme/theme1.xml" Id="Rf95755c339d94a2e" /><Relationship Type="http://schemas.openxmlformats.org/officeDocument/2006/relationships/sharedStrings" Target="/xl/sharedStrings.xml" Id="R2f274584cd094e95" /><Relationship Type="http://schemas.openxmlformats.org/officeDocument/2006/relationships/worksheet" Target="/xl/worksheets/sheet1.xml" Id="R83a9a765d56d4d9e" /><Relationship Type="http://schemas.openxmlformats.org/officeDocument/2006/relationships/worksheet" Target="/xl/worksheets/sheet2.xml" Id="R3f2c3d7da23f4860" /><Relationship Type="http://schemas.openxmlformats.org/officeDocument/2006/relationships/worksheet" Target="/xl/worksheets/sheet3.xml" Id="Rc7a552e938914b34" /><Relationship Type="http://schemas.openxmlformats.org/officeDocument/2006/relationships/worksheet" Target="/xl/worksheets/sheet4.xml" Id="R3f9f05d1c00b487f" /><Relationship Type="http://schemas.openxmlformats.org/officeDocument/2006/relationships/worksheet" Target="/xl/worksheets/sheet5.xml" Id="R9e2daed40e6f474a" /><Relationship Type="http://schemas.openxmlformats.org/officeDocument/2006/relationships/worksheet" Target="/xl/worksheets/sheet6.xml" Id="Rb7541c23081f4c93" /><Relationship Type="http://schemas.openxmlformats.org/officeDocument/2006/relationships/worksheet" Target="/xl/worksheets/sheet7.xml" Id="R4f28d5be6813491d" /></Relationships>
</file>

<file path=xl/tables/table1.xml><?xml version="1.0" encoding="utf-8"?>
<x:table xmlns:x="http://schemas.openxmlformats.org/spreadsheetml/2006/main" id="1" name="WriteoffExportTable" displayName="WriteoffExportTable" ref="A5:T14" headerRowCount="1" totalsRowCount="0" totalsRowShown="0">
  <x:autoFilter ref="A5:T14"/>
  <x:tableColumns count="20">
    <x:tableColumn id="1" name="规则ID"/>
    <x:tableColumn id="2" name="订单号"/>
    <x:tableColumn id="3" name="客户名称"/>
    <x:tableColumn id="4" name="核销方式"/>
    <x:tableColumn id="5" name="核销计量基准"/>
    <x:tableColumn id="6" name="订单金额（元）"/>
    <x:tableColumn id="7" name="上账金额（元）"/>
    <x:tableColumn id="8" name="订单最高核销比例"/>
    <x:tableColumn id="9" name="核销次数运算符"/>
    <x:tableColumn id="10" name="核销次数值"/>
    <x:tableColumn id="11" name="明细总次数"/>
    <x:tableColumn id="12" name="本次序号"/>
    <x:tableColumn id="13" name="本次核销比例"/>
    <x:tableColumn id="14" name="本次最高核销金额（元）"/>
    <x:tableColumn id="15" name="本次预计核销金额（元）"/>
    <x:tableColumn id="16" name="累计核销比例"/>
    <x:tableColumn id="17" name="累计预计核销金额（元）"/>
    <x:tableColumn id="18" name="说明"/>
    <x:tableColumn id="19" name="状态"/>
    <x:tableColumn id="20" name="导出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riteoffFieldDictionary" displayName="WriteoffFieldDictionary" ref="A3:G23" headerRowCount="1" totalsRowCount="0" totalsRowShown="0">
  <x:autoFilter ref="A3:G23"/>
  <x:tableColumns count="7">
    <x:tableColumn id="1" name="字段名"/>
    <x:tableColumn id="2" name="数据类型"/>
    <x:tableColumn id="3" name="公共/专用"/>
    <x:tableColumn id="4" name="按比例核销"/>
    <x:tableColumn id="5" name="按金额核销"/>
    <x:tableColumn id="6" name="填写规则"/>
    <x:tableColumn id="7" name="示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ActivitySummaryTable" displayName="ActivitySummaryTable" ref="A5:T6" headerRowCount="1" totalsRowCount="0" totalsRowShown="0">
  <x:autoFilter ref="A5:T6"/>
  <x:tableColumns count="20">
    <x:tableColumn id="1" name="活动ID"/>
    <x:tableColumn id="2" name="活动名称"/>
    <x:tableColumn id="3" name="活动开始日期"/>
    <x:tableColumn id="4" name="活动结束日期"/>
    <x:tableColumn id="5" name="实际活动门店数"/>
    <x:tableColumn id="6" name="实际活动天数"/>
    <x:tableColumn id="7" name="实际变价补差（元）"/>
    <x:tableColumn id="8" name="实际海报费（元）"/>
    <x:tableColumn id="9" name="实际费用合计（元）"/>
    <x:tableColumn id="10" name="我司实际承担合计（元）"/>
    <x:tableColumn id="11" name="我司承担比例"/>
    <x:tableColumn id="12" name="实际促销POS额（元）"/>
    <x:tableColumn id="13" name="费销比"/>
    <x:tableColumn id="14" name="扣减金额（元）"/>
    <x:tableColumn id="15" name="上账金额（元）"/>
    <x:tableColumn id="16" name="扣减原因"/>
    <x:tableColumn id="17" name="备注说明"/>
    <x:tableColumn id="18" name="状态"/>
    <x:tableColumn id="19" name="创建人"/>
    <x:tableColumn id="20" name="创建时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ActivityProductTable" displayName="ActivityProductTable" ref="A5:I7" headerRowCount="1" totalsRowCount="0" totalsRowShown="0">
  <x:autoFilter ref="A5:I7"/>
  <x:tableColumns count="9">
    <x:tableColumn id="1" name="活动ID"/>
    <x:tableColumn id="2" name="序号"/>
    <x:tableColumn id="3" name="商品名称"/>
    <x:tableColumn id="4" name="商品单位"/>
    <x:tableColumn id="5" name="实际销量"/>
    <x:tableColumn id="6" name="正常销售单价（元）"/>
    <x:tableColumn id="7" name="促销补差单价（元）"/>
    <x:tableColumn id="8" name="实际变价补差金额（元）"/>
    <x:tableColumn id="9" name="POS销售额（元）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tivityAttachmentTable" displayName="ActivityAttachmentTable" ref="A5:J10" headerRowCount="1" totalsRowCount="0" totalsRowShown="0">
  <x:autoFilter ref="A5:J10"/>
  <x:tableColumns count="10">
    <x:tableColumn id="1" name="活动ID"/>
    <x:tableColumn id="2" name="序号"/>
    <x:tableColumn id="3" name="附件分类"/>
    <x:tableColumn id="4" name="文件名称"/>
    <x:tableColumn id="5" name="文件格式"/>
    <x:tableColumn id="6" name="是否水印"/>
    <x:tableColumn id="7" name="上传状态"/>
    <x:tableColumn id="8" name="文件URL/存储路径"/>
    <x:tableColumn id="9" name="上传时间"/>
    <x:tableColumn id="10" name="备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ctivityLogTable" displayName="ActivityLogTable" ref="A5:G6" headerRowCount="1" totalsRowCount="0" totalsRowShown="0">
  <x:autoFilter ref="A5:G6"/>
  <x:tableColumns count="7">
    <x:tableColumn id="1" name="活动ID"/>
    <x:tableColumn id="2" name="日志序号"/>
    <x:tableColumn id="3" name="操作人"/>
    <x:tableColumn id="4" name="操作类型"/>
    <x:tableColumn id="5" name="操作结果"/>
    <x:tableColumn id="6" name="操作时间"/>
    <x:tableColumn id="7" name="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ctivityFieldDictionary" displayName="ActivityFieldDictionary" ref="A3:G40" headerRowCount="1" totalsRowCount="0" totalsRowShown="0">
  <x:autoFilter ref="A3:G40"/>
  <x:tableColumns count="7">
    <x:tableColumn id="1" name="所属Sheet"/>
    <x:tableColumn id="2" name="字段名"/>
    <x:tableColumn id="3" name="数据类型"/>
    <x:tableColumn id="4" name="必填"/>
    <x:tableColumn id="5" name="说明"/>
    <x:tableColumn id="6" name="取值/计算规则"/>
    <x:tableColumn id="7" name="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30d1a8579d49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5fde1b91b44b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1802c6ee8846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d498ca0b3f347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3f891f5cc814c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33966d5f9a141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7086f875c6845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4" hidden="0" customWidth="1"/>
    <x:col min="4" max="4" width="14" hidden="0" customWidth="1"/>
    <x:col min="5" max="5" width="16" hidden="0" customWidth="1"/>
    <x:col min="6" max="6" width="15" hidden="0" customWidth="1"/>
    <x:col min="7" max="7" width="15" hidden="0" customWidth="1"/>
    <x:col min="8" max="8" width="17" hidden="0" customWidth="1"/>
    <x:col min="9" max="9" width="15" hidden="0" customWidth="1"/>
    <x:col min="10" max="10" width="13" hidden="0" customWidth="1"/>
    <x:col min="11" max="11" width="13" hidden="0" customWidth="1"/>
    <x:col min="12" max="12" width="12" hidden="0" customWidth="1"/>
    <x:col min="13" max="13" width="15" hidden="0" customWidth="1"/>
    <x:col min="14" max="14" width="20" hidden="0" customWidth="1"/>
    <x:col min="15" max="15" width="20" hidden="0" customWidth="1"/>
    <x:col min="16" max="16" width="15" hidden="0" customWidth="1"/>
    <x:col min="17" max="17" width="20" hidden="0" customWidth="1"/>
    <x:col min="18" max="18" width="20" hidden="0" customWidth="1"/>
    <x:col min="19" max="19" width="10" hidden="0" customWidth="1"/>
    <x:col min="20" max="20" width="21" hidden="0" customWidth="1"/>
  </x:cols>
  <x:sheetData>
    <x:row r="1" ht="32" customHeight="1">
      <x:c r="A1" s="113" t="str">
        <x:v>核销规则导出模板（兼容按比例核销 / 按金额核销）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  <x:c r="O1" s="113"/>
      <x:c r="P1" s="113"/>
      <x:c r="Q1" s="113"/>
      <x:c r="R1" s="113"/>
      <x:c r="S1" s="113"/>
      <x:c r="T1" s="113"/>
    </x:row>
    <x:row r="2" ht="24" customHeight="1">
      <x:c r="A2" s="76" t="str">
        <x:v>兼容原则：一次核销一行；按比例模式填写“本次核销比例”，按金额模式填写“本次最高核销金额”，不适用字段留空。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  <x:c r="M2" s="76"/>
      <x:c r="N2" s="76"/>
      <x:c r="O2" s="76"/>
      <x:c r="P2" s="76"/>
      <x:c r="Q2" s="76"/>
      <x:c r="R2" s="76"/>
      <x:c r="S2" s="76"/>
      <x:c r="T2" s="76"/>
    </x:row>
    <x:row r="3" ht="24" customHeight="1">
      <x:c r="A3" s="77" t="str">
        <x:v>下方为两种模式的示例数据。接入导出时，用实际业务数据替换示例行；比例、金额和日期均保持 Excel 原生数值类型。</x:v>
      </x:c>
      <x:c r="B3" s="77"/>
      <x:c r="C3" s="77"/>
      <x:c r="D3" s="77"/>
      <x:c r="E3" s="77"/>
      <x:c r="F3" s="77"/>
      <x:c r="G3" s="77"/>
      <x:c r="H3" s="77"/>
      <x:c r="I3" s="77"/>
      <x:c r="J3" s="77"/>
      <x:c r="K3" s="77"/>
      <x:c r="L3" s="77"/>
      <x:c r="M3" s="77"/>
      <x:c r="N3" s="77"/>
      <x:c r="O3" s="77"/>
      <x:c r="P3" s="77"/>
      <x:c r="Q3" s="77"/>
      <x:c r="R3" s="77"/>
      <x:c r="S3" s="77"/>
      <x:c r="T3" s="77"/>
    </x:row>
    <x:row r="4">
      <x:c r="A4" s="78"/>
      <x:c r="B4" s="78"/>
      <x:c r="C4" s="78"/>
      <x:c r="D4" s="78"/>
      <x:c r="E4" s="78"/>
      <x:c r="F4" s="78"/>
      <x:c r="G4" s="78"/>
      <x:c r="H4" s="78"/>
      <x:c r="I4" s="78"/>
      <x:c r="J4" s="78"/>
      <x:c r="K4" s="78"/>
      <x:c r="L4" s="78"/>
      <x:c r="M4" s="78"/>
      <x:c r="N4" s="78"/>
      <x:c r="O4" s="78"/>
      <x:c r="P4" s="78"/>
      <x:c r="Q4" s="78"/>
      <x:c r="R4" s="78"/>
      <x:c r="S4" s="78"/>
      <x:c r="T4" s="78"/>
    </x:row>
    <x:row r="5" ht="40" customHeight="1">
      <x:c r="A5" s="79" t="str">
        <x:v>规则ID</x:v>
      </x:c>
      <x:c r="B5" s="79" t="str">
        <x:v>订单号</x:v>
      </x:c>
      <x:c r="C5" s="79" t="str">
        <x:v>客户名称</x:v>
      </x:c>
      <x:c r="D5" s="79" t="str">
        <x:v>核销方式</x:v>
      </x:c>
      <x:c r="E5" s="79" t="str">
        <x:v>核销计量基准</x:v>
      </x:c>
      <x:c r="F5" s="79" t="str">
        <x:v>订单金额（元）</x:v>
      </x:c>
      <x:c r="G5" s="79" t="str">
        <x:v>上账金额（元）</x:v>
      </x:c>
      <x:c r="H5" s="79" t="str">
        <x:v>订单最高核销比例</x:v>
      </x:c>
      <x:c r="I5" s="79" t="str">
        <x:v>核销次数运算符</x:v>
      </x:c>
      <x:c r="J5" s="79" t="str">
        <x:v>核销次数值</x:v>
      </x:c>
      <x:c r="K5" s="79" t="str">
        <x:v>明细总次数</x:v>
      </x:c>
      <x:c r="L5" s="79" t="str">
        <x:v>本次序号</x:v>
      </x:c>
      <x:c r="M5" s="79" t="str">
        <x:v>本次核销比例</x:v>
      </x:c>
      <x:c r="N5" s="79" t="str">
        <x:v>本次最高核销金额（元）</x:v>
      </x:c>
      <x:c r="O5" s="79" t="str">
        <x:v>本次预计核销金额（元）</x:v>
      </x:c>
      <x:c r="P5" s="79" t="str">
        <x:v>累计核销比例</x:v>
      </x:c>
      <x:c r="Q5" s="79" t="str">
        <x:v>累计预计核销金额（元）</x:v>
      </x:c>
      <x:c r="R5" s="79" t="str">
        <x:v>说明</x:v>
      </x:c>
      <x:c r="S5" s="79" t="str">
        <x:v>状态</x:v>
      </x:c>
      <x:c r="T5" s="79" t="str">
        <x:v>导出时间</x:v>
      </x:c>
    </x:row>
    <x:row r="6">
      <x:c r="A6" s="80" t="str">
        <x:v>RULE-P-001</x:v>
      </x:c>
      <x:c r="B6" s="81" t="str">
        <x:v>ORD-20260703-001</x:v>
      </x:c>
      <x:c r="C6" s="81" t="str">
        <x:v>示例客户甲</x:v>
      </x:c>
      <x:c r="D6" s="81" t="str">
        <x:v>按比例核销</x:v>
      </x:c>
      <x:c r="E6" s="81" t="str">
        <x:v>实际订货金额</x:v>
      </x:c>
      <x:c r="F6" s="82" t="n">
        <x:v>1000</x:v>
      </x:c>
      <x:c r="G6" s="82" t="n">
        <x:v>100</x:v>
      </x:c>
      <x:c r="H6" s="83" t="n">
        <x:v>0.3</x:v>
      </x:c>
      <x:c r="I6" s="84" t="str">
        <x:v>&gt;=</x:v>
      </x:c>
      <x:c r="J6" s="85" t="n">
        <x:v>4</x:v>
      </x:c>
      <x:c r="K6" s="85" t="n">
        <x:v>4</x:v>
      </x:c>
      <x:c r="L6" s="85" t="n">
        <x:v>1</x:v>
      </x:c>
      <x:c r="M6" s="86" t="n">
        <x:v>0.25</x:v>
      </x:c>
      <x:c r="N6" s="87"/>
      <x:c r="O6" s="88" t="n">
        <x:f>IF(D6="按比例核销",G6*M6,IF(D6="按金额核销",N6,""))</x:f>
        <x:v>25</x:v>
      </x:c>
      <x:c r="P6" s="89" t="n">
        <x:f>IF(D6="按比例核销",SUMIFS($M$6:M6,$A$6:A6,A6),"")</x:f>
        <x:v>0.25</x:v>
      </x:c>
      <x:c r="Q6" s="88" t="n">
        <x:f>SUMIFS($O$6:O6,$A$6:A6,A6)</x:f>
        <x:v>25</x:v>
      </x:c>
      <x:c r="R6" s="81" t="str">
        <x:v>第一次比例</x:v>
      </x:c>
      <x:c r="S6" s="81" t="str">
        <x:v>生效</x:v>
      </x:c>
      <x:c r="T6" s="90" t="n">
        <x:v>46206.104166666664</x:v>
      </x:c>
    </x:row>
    <x:row r="7">
      <x:c r="A7" s="91" t="str">
        <x:v>RULE-P-001</x:v>
      </x:c>
      <x:c r="B7" s="92" t="str">
        <x:v>ORD-20260703-001</x:v>
      </x:c>
      <x:c r="C7" s="92" t="str">
        <x:v>示例客户甲</x:v>
      </x:c>
      <x:c r="D7" s="92" t="str">
        <x:v>按比例核销</x:v>
      </x:c>
      <x:c r="E7" s="92" t="str">
        <x:v>实际订货金额</x:v>
      </x:c>
      <x:c r="F7" s="93" t="n">
        <x:v>1000</x:v>
      </x:c>
      <x:c r="G7" s="93" t="n">
        <x:v>100</x:v>
      </x:c>
      <x:c r="H7" s="94" t="n">
        <x:v>0.3</x:v>
      </x:c>
      <x:c r="I7" s="95" t="str">
        <x:v>&gt;=</x:v>
      </x:c>
      <x:c r="J7" s="96" t="n">
        <x:v>4</x:v>
      </x:c>
      <x:c r="K7" s="96" t="n">
        <x:v>4</x:v>
      </x:c>
      <x:c r="L7" s="96" t="n">
        <x:v>2</x:v>
      </x:c>
      <x:c r="M7" s="97" t="n">
        <x:v>0.25</x:v>
      </x:c>
      <x:c r="N7" s="98"/>
      <x:c r="O7" s="99" t="n">
        <x:f>IF(D7="按比例核销",G7*M7,IF(D7="按金额核销",N7,""))</x:f>
        <x:v>25</x:v>
      </x:c>
      <x:c r="P7" s="100" t="n">
        <x:f>IF(D7="按比例核销",SUMIFS($M$6:M7,$A$6:A7,A7),"")</x:f>
        <x:v>0.5</x:v>
      </x:c>
      <x:c r="Q7" s="99" t="n">
        <x:f>SUMIFS($O$6:O7,$A$6:A7,A7)</x:f>
        <x:v>50</x:v>
      </x:c>
      <x:c r="R7" s="92" t="str">
        <x:v>第二次比例</x:v>
      </x:c>
      <x:c r="S7" s="92" t="str">
        <x:v>生效</x:v>
      </x:c>
      <x:c r="T7" s="101" t="n">
        <x:v>46206.104166666664</x:v>
      </x:c>
    </x:row>
    <x:row r="8">
      <x:c r="A8" s="91" t="str">
        <x:v>RULE-P-001</x:v>
      </x:c>
      <x:c r="B8" s="92" t="str">
        <x:v>ORD-20260703-001</x:v>
      </x:c>
      <x:c r="C8" s="92" t="str">
        <x:v>示例客户甲</x:v>
      </x:c>
      <x:c r="D8" s="92" t="str">
        <x:v>按比例核销</x:v>
      </x:c>
      <x:c r="E8" s="92" t="str">
        <x:v>实际订货金额</x:v>
      </x:c>
      <x:c r="F8" s="93" t="n">
        <x:v>1000</x:v>
      </x:c>
      <x:c r="G8" s="93" t="n">
        <x:v>100</x:v>
      </x:c>
      <x:c r="H8" s="94" t="n">
        <x:v>0.3</x:v>
      </x:c>
      <x:c r="I8" s="95" t="str">
        <x:v>&gt;=</x:v>
      </x:c>
      <x:c r="J8" s="96" t="n">
        <x:v>4</x:v>
      </x:c>
      <x:c r="K8" s="96" t="n">
        <x:v>4</x:v>
      </x:c>
      <x:c r="L8" s="96" t="n">
        <x:v>3</x:v>
      </x:c>
      <x:c r="M8" s="97" t="n">
        <x:v>0.25</x:v>
      </x:c>
      <x:c r="N8" s="98"/>
      <x:c r="O8" s="99" t="n">
        <x:f>IF(D8="按比例核销",G8*M8,IF(D8="按金额核销",N8,""))</x:f>
        <x:v>25</x:v>
      </x:c>
      <x:c r="P8" s="100" t="n">
        <x:f>IF(D8="按比例核销",SUMIFS($M$6:M8,$A$6:A8,A8),"")</x:f>
        <x:v>0.75</x:v>
      </x:c>
      <x:c r="Q8" s="99" t="n">
        <x:f>SUMIFS($O$6:O8,$A$6:A8,A8)</x:f>
        <x:v>75</x:v>
      </x:c>
      <x:c r="R8" s="92" t="str">
        <x:v>第三次比例</x:v>
      </x:c>
      <x:c r="S8" s="92" t="str">
        <x:v>生效</x:v>
      </x:c>
      <x:c r="T8" s="101" t="n">
        <x:v>46206.104166666664</x:v>
      </x:c>
    </x:row>
    <x:row r="9">
      <x:c r="A9" s="91" t="str">
        <x:v>RULE-P-001</x:v>
      </x:c>
      <x:c r="B9" s="92" t="str">
        <x:v>ORD-20260703-001</x:v>
      </x:c>
      <x:c r="C9" s="92" t="str">
        <x:v>示例客户甲</x:v>
      </x:c>
      <x:c r="D9" s="92" t="str">
        <x:v>按比例核销</x:v>
      </x:c>
      <x:c r="E9" s="92" t="str">
        <x:v>实际订货金额</x:v>
      </x:c>
      <x:c r="F9" s="93" t="n">
        <x:v>1000</x:v>
      </x:c>
      <x:c r="G9" s="93" t="n">
        <x:v>100</x:v>
      </x:c>
      <x:c r="H9" s="94" t="n">
        <x:v>0.3</x:v>
      </x:c>
      <x:c r="I9" s="95" t="str">
        <x:v>&gt;=</x:v>
      </x:c>
      <x:c r="J9" s="96" t="n">
        <x:v>4</x:v>
      </x:c>
      <x:c r="K9" s="96" t="n">
        <x:v>4</x:v>
      </x:c>
      <x:c r="L9" s="96" t="n">
        <x:v>4</x:v>
      </x:c>
      <x:c r="M9" s="97" t="n">
        <x:v>0.25</x:v>
      </x:c>
      <x:c r="N9" s="98"/>
      <x:c r="O9" s="99" t="n">
        <x:f>IF(D9="按比例核销",G9*M9,IF(D9="按金额核销",N9,""))</x:f>
        <x:v>25</x:v>
      </x:c>
      <x:c r="P9" s="100" t="n">
        <x:f>IF(D9="按比例核销",SUMIFS($M$6:M9,$A$6:A9,A9),"")</x:f>
        <x:v>1</x:v>
      </x:c>
      <x:c r="Q9" s="99" t="n">
        <x:f>SUMIFS($O$6:O9,$A$6:A9,A9)</x:f>
        <x:v>100</x:v>
      </x:c>
      <x:c r="R9" s="92" t="str">
        <x:v>第四次比例</x:v>
      </x:c>
      <x:c r="S9" s="92" t="str">
        <x:v>生效</x:v>
      </x:c>
      <x:c r="T9" s="101" t="n">
        <x:v>46206.104166666664</x:v>
      </x:c>
    </x:row>
    <x:row r="10">
      <x:c r="A10" s="91" t="str">
        <x:v>RULE-A-001</x:v>
      </x:c>
      <x:c r="B10" s="92" t="str">
        <x:v>ORD-20260703-002</x:v>
      </x:c>
      <x:c r="C10" s="92" t="str">
        <x:v>示例客户乙</x:v>
      </x:c>
      <x:c r="D10" s="92" t="str">
        <x:v>按金额核销</x:v>
      </x:c>
      <x:c r="E10" s="92"/>
      <x:c r="F10" s="93" t="n">
        <x:v>1000</x:v>
      </x:c>
      <x:c r="G10" s="93"/>
      <x:c r="H10" s="94"/>
      <x:c r="I10" s="95"/>
      <x:c r="J10" s="96"/>
      <x:c r="K10" s="96" t="n">
        <x:v>5</x:v>
      </x:c>
      <x:c r="L10" s="96" t="n">
        <x:v>1</x:v>
      </x:c>
      <x:c r="M10" s="97"/>
      <x:c r="N10" s="98" t="n">
        <x:v>20</x:v>
      </x:c>
      <x:c r="O10" s="99" t="n">
        <x:f>IF(D10="按比例核销",G10*M10,IF(D10="按金额核销",N10,""))</x:f>
        <x:v>20</x:v>
      </x:c>
      <x:c r="P10" s="100" t="str">
        <x:f>IF(D10="按比例核销",SUMIFS($M$6:M10,$A$6:A10,A10),"")</x:f>
      </x:c>
      <x:c r="Q10" s="99" t="n">
        <x:f>SUMIFS($O$6:O10,$A$6:A10,A10)</x:f>
        <x:v>20</x:v>
      </x:c>
      <x:c r="R10" s="92" t="str">
        <x:v>第一次金额上限</x:v>
      </x:c>
      <x:c r="S10" s="92" t="str">
        <x:v>草稿</x:v>
      </x:c>
      <x:c r="T10" s="101" t="n">
        <x:v>46206.104166666664</x:v>
      </x:c>
    </x:row>
    <x:row r="11">
      <x:c r="A11" s="91" t="str">
        <x:v>RULE-A-001</x:v>
      </x:c>
      <x:c r="B11" s="92" t="str">
        <x:v>ORD-20260703-002</x:v>
      </x:c>
      <x:c r="C11" s="92" t="str">
        <x:v>示例客户乙</x:v>
      </x:c>
      <x:c r="D11" s="92" t="str">
        <x:v>按金额核销</x:v>
      </x:c>
      <x:c r="E11" s="92"/>
      <x:c r="F11" s="93" t="n">
        <x:v>1000</x:v>
      </x:c>
      <x:c r="G11" s="93"/>
      <x:c r="H11" s="94"/>
      <x:c r="I11" s="95"/>
      <x:c r="J11" s="96"/>
      <x:c r="K11" s="96" t="n">
        <x:v>5</x:v>
      </x:c>
      <x:c r="L11" s="96" t="n">
        <x:v>2</x:v>
      </x:c>
      <x:c r="M11" s="97"/>
      <x:c r="N11" s="98" t="n">
        <x:v>30</x:v>
      </x:c>
      <x:c r="O11" s="99" t="n">
        <x:f>IF(D11="按比例核销",G11*M11,IF(D11="按金额核销",N11,""))</x:f>
        <x:v>30</x:v>
      </x:c>
      <x:c r="P11" s="100" t="str">
        <x:f>IF(D11="按比例核销",SUMIFS($M$6:M11,$A$6:A11,A11),"")</x:f>
      </x:c>
      <x:c r="Q11" s="99" t="n">
        <x:f>SUMIFS($O$6:O11,$A$6:A11,A11)</x:f>
        <x:v>50</x:v>
      </x:c>
      <x:c r="R11" s="92" t="str">
        <x:v>第二次金额上限</x:v>
      </x:c>
      <x:c r="S11" s="92" t="str">
        <x:v>草稿</x:v>
      </x:c>
      <x:c r="T11" s="101" t="n">
        <x:v>46206.104166666664</x:v>
      </x:c>
    </x:row>
    <x:row r="12">
      <x:c r="A12" s="91" t="str">
        <x:v>RULE-A-001</x:v>
      </x:c>
      <x:c r="B12" s="92" t="str">
        <x:v>ORD-20260703-002</x:v>
      </x:c>
      <x:c r="C12" s="92" t="str">
        <x:v>示例客户乙</x:v>
      </x:c>
      <x:c r="D12" s="92" t="str">
        <x:v>按金额核销</x:v>
      </x:c>
      <x:c r="E12" s="92"/>
      <x:c r="F12" s="93" t="n">
        <x:v>1000</x:v>
      </x:c>
      <x:c r="G12" s="93"/>
      <x:c r="H12" s="94"/>
      <x:c r="I12" s="95"/>
      <x:c r="J12" s="96"/>
      <x:c r="K12" s="96" t="n">
        <x:v>5</x:v>
      </x:c>
      <x:c r="L12" s="96" t="n">
        <x:v>3</x:v>
      </x:c>
      <x:c r="M12" s="97"/>
      <x:c r="N12" s="98" t="n">
        <x:v>25</x:v>
      </x:c>
      <x:c r="O12" s="99" t="n">
        <x:f>IF(D12="按比例核销",G12*M12,IF(D12="按金额核销",N12,""))</x:f>
        <x:v>25</x:v>
      </x:c>
      <x:c r="P12" s="100" t="str">
        <x:f>IF(D12="按比例核销",SUMIFS($M$6:M12,$A$6:A12,A12),"")</x:f>
      </x:c>
      <x:c r="Q12" s="99" t="n">
        <x:f>SUMIFS($O$6:O12,$A$6:A12,A12)</x:f>
        <x:v>75</x:v>
      </x:c>
      <x:c r="R12" s="92" t="str">
        <x:v>第三次金额上限</x:v>
      </x:c>
      <x:c r="S12" s="92" t="str">
        <x:v>草稿</x:v>
      </x:c>
      <x:c r="T12" s="101" t="n">
        <x:v>46206.104166666664</x:v>
      </x:c>
    </x:row>
    <x:row r="13">
      <x:c r="A13" s="91" t="str">
        <x:v>RULE-A-001</x:v>
      </x:c>
      <x:c r="B13" s="92" t="str">
        <x:v>ORD-20260703-002</x:v>
      </x:c>
      <x:c r="C13" s="92" t="str">
        <x:v>示例客户乙</x:v>
      </x:c>
      <x:c r="D13" s="92" t="str">
        <x:v>按金额核销</x:v>
      </x:c>
      <x:c r="E13" s="92"/>
      <x:c r="F13" s="93" t="n">
        <x:v>1000</x:v>
      </x:c>
      <x:c r="G13" s="93"/>
      <x:c r="H13" s="94"/>
      <x:c r="I13" s="95"/>
      <x:c r="J13" s="96"/>
      <x:c r="K13" s="96" t="n">
        <x:v>5</x:v>
      </x:c>
      <x:c r="L13" s="96" t="n">
        <x:v>4</x:v>
      </x:c>
      <x:c r="M13" s="97"/>
      <x:c r="N13" s="98" t="n">
        <x:v>15</x:v>
      </x:c>
      <x:c r="O13" s="99" t="n">
        <x:f>IF(D13="按比例核销",G13*M13,IF(D13="按金额核销",N13,""))</x:f>
        <x:v>15</x:v>
      </x:c>
      <x:c r="P13" s="100" t="str">
        <x:f>IF(D13="按比例核销",SUMIFS($M$6:M13,$A$6:A13,A13),"")</x:f>
      </x:c>
      <x:c r="Q13" s="99" t="n">
        <x:f>SUMIFS($O$6:O13,$A$6:A13,A13)</x:f>
        <x:v>90</x:v>
      </x:c>
      <x:c r="R13" s="92" t="str">
        <x:v>第四次金额上限</x:v>
      </x:c>
      <x:c r="S13" s="92" t="str">
        <x:v>草稿</x:v>
      </x:c>
      <x:c r="T13" s="101" t="n">
        <x:v>46206.104166666664</x:v>
      </x:c>
    </x:row>
    <x:row r="14">
      <x:c r="A14" s="102" t="str">
        <x:v>RULE-A-001</x:v>
      </x:c>
      <x:c r="B14" s="103" t="str">
        <x:v>ORD-20260703-002</x:v>
      </x:c>
      <x:c r="C14" s="103" t="str">
        <x:v>示例客户乙</x:v>
      </x:c>
      <x:c r="D14" s="103" t="str">
        <x:v>按金额核销</x:v>
      </x:c>
      <x:c r="E14" s="103"/>
      <x:c r="F14" s="104" t="n">
        <x:v>1000</x:v>
      </x:c>
      <x:c r="G14" s="104"/>
      <x:c r="H14" s="105"/>
      <x:c r="I14" s="106"/>
      <x:c r="J14" s="107"/>
      <x:c r="K14" s="107" t="n">
        <x:v>5</x:v>
      </x:c>
      <x:c r="L14" s="107" t="n">
        <x:v>5</x:v>
      </x:c>
      <x:c r="M14" s="108"/>
      <x:c r="N14" s="109" t="n">
        <x:v>10</x:v>
      </x:c>
      <x:c r="O14" s="110" t="n">
        <x:f>IF(D14="按比例核销",G14*M14,IF(D14="按金额核销",N14,""))</x:f>
        <x:v>10</x:v>
      </x:c>
      <x:c r="P14" s="111" t="str">
        <x:f>IF(D14="按比例核销",SUMIFS($M$6:M14,$A$6:A14,A14),"")</x:f>
      </x:c>
      <x:c r="Q14" s="110" t="n">
        <x:f>SUMIFS($O$6:O14,$A$6:A14,A14)</x:f>
        <x:v>100</x:v>
      </x:c>
      <x:c r="R14" s="103" t="str">
        <x:v>第五次金额上限</x:v>
      </x:c>
      <x:c r="S14" s="103" t="str">
        <x:v>草稿</x:v>
      </x:c>
      <x:c r="T14" s="112" t="n">
        <x:v>46206.104166666664</x:v>
      </x:c>
    </x:row>
  </x:sheetData>
  <x:mergeCells>
    <x:mergeCell ref="A1:T1"/>
    <x:mergeCell ref="A2:T2"/>
    <x:mergeCell ref="A3:T3"/>
  </x:mergeCells>
  <x:pageMargins left="0.7" right="0.7" top="0.75" bottom="0.75" header="0.3" footer="0.3"/>
  <x:tableParts count="1">
    <x:tablePart xmlns:r="http://schemas.openxmlformats.org/officeDocument/2006/relationships" r:id="R0a30d1a8579d498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6" hidden="0" customWidth="1"/>
    <x:col min="5" max="5" width="16" hidden="0" customWidth="1"/>
    <x:col min="6" max="6" width="48" hidden="0" customWidth="1"/>
    <x:col min="7" max="7" width="23" hidden="0" customWidth="1"/>
  </x:cols>
  <x:sheetData>
    <x:row r="1" ht="32" customHeight="1">
      <x:c r="A1" s="113" t="str">
        <x:v>字段说明与兼容规则</x:v>
      </x:c>
      <x:c r="B1" s="113"/>
      <x:c r="C1" s="113"/>
      <x:c r="D1" s="113"/>
      <x:c r="E1" s="113"/>
      <x:c r="F1" s="113"/>
      <x:c r="G1" s="113"/>
    </x:row>
    <x:row r="3">
      <x:c r="A3" s="120" t="str">
        <x:v>字段名</x:v>
      </x:c>
      <x:c r="B3" s="120" t="str">
        <x:v>数据类型</x:v>
      </x:c>
      <x:c r="C3" s="120" t="str">
        <x:v>公共/专用</x:v>
      </x:c>
      <x:c r="D3" s="120" t="str">
        <x:v>按比例核销</x:v>
      </x:c>
      <x:c r="E3" s="120" t="str">
        <x:v>按金额核销</x:v>
      </x:c>
      <x:c r="F3" s="120" t="str">
        <x:v>填写规则</x:v>
      </x:c>
      <x:c r="G3" s="120" t="str">
        <x:v>示例</x:v>
      </x:c>
    </x:row>
    <x:row r="4">
      <x:c r="A4" s="139" t="str">
        <x:v>规则ID</x:v>
      </x:c>
      <x:c r="B4" s="140" t="str">
        <x:v>文本</x:v>
      </x:c>
      <x:c r="C4" s="140" t="str">
        <x:v>公共</x:v>
      </x:c>
      <x:c r="D4" s="140" t="str">
        <x:v>必填</x:v>
      </x:c>
      <x:c r="E4" s="140" t="str">
        <x:v>必填</x:v>
      </x:c>
      <x:c r="F4" s="140" t="str">
        <x:v>同一核销规则的所有明细行保持一致，用于分组</x:v>
      </x:c>
      <x:c r="G4" s="141" t="str">
        <x:v>RULE-P-001</x:v>
      </x:c>
    </x:row>
    <x:row r="5">
      <x:c r="A5" s="142" t="str">
        <x:v>订单号</x:v>
      </x:c>
      <x:c r="B5" s="143" t="str">
        <x:v>文本</x:v>
      </x:c>
      <x:c r="C5" s="143" t="str">
        <x:v>公共</x:v>
      </x:c>
      <x:c r="D5" s="143" t="str">
        <x:v>建议填</x:v>
      </x:c>
      <x:c r="E5" s="143" t="str">
        <x:v>建议填</x:v>
      </x:c>
      <x:c r="F5" s="143" t="str">
        <x:v>关联业务订单</x:v>
      </x:c>
      <x:c r="G5" s="144" t="str">
        <x:v>ORD-20260703-001</x:v>
      </x:c>
    </x:row>
    <x:row r="6">
      <x:c r="A6" s="142" t="str">
        <x:v>客户名称</x:v>
      </x:c>
      <x:c r="B6" s="143" t="str">
        <x:v>文本</x:v>
      </x:c>
      <x:c r="C6" s="143" t="str">
        <x:v>公共</x:v>
      </x:c>
      <x:c r="D6" s="143" t="str">
        <x:v>建议填</x:v>
      </x:c>
      <x:c r="E6" s="143" t="str">
        <x:v>建议填</x:v>
      </x:c>
      <x:c r="F6" s="143" t="str">
        <x:v>客户或主体名称</x:v>
      </x:c>
      <x:c r="G6" s="144" t="str">
        <x:v>示例客户甲</x:v>
      </x:c>
    </x:row>
    <x:row r="7">
      <x:c r="A7" s="142" t="str">
        <x:v>核销方式</x:v>
      </x:c>
      <x:c r="B7" s="143" t="str">
        <x:v>枚举</x:v>
      </x:c>
      <x:c r="C7" s="143" t="str">
        <x:v>公共</x:v>
      </x:c>
      <x:c r="D7" s="143" t="str">
        <x:v>按比例核销</x:v>
      </x:c>
      <x:c r="E7" s="143" t="str">
        <x:v>按金额核销</x:v>
      </x:c>
      <x:c r="F7" s="143" t="str">
        <x:v>仅允许两种枚举值</x:v>
      </x:c>
      <x:c r="G7" s="144" t="str">
        <x:v>按比例核销</x:v>
      </x:c>
    </x:row>
    <x:row r="8">
      <x:c r="A8" s="142" t="str">
        <x:v>核销计量基准</x:v>
      </x:c>
      <x:c r="B8" s="143" t="str">
        <x:v>文本</x:v>
      </x:c>
      <x:c r="C8" s="143" t="str">
        <x:v>比例专用</x:v>
      </x:c>
      <x:c r="D8" s="143" t="str">
        <x:v>按业务填</x:v>
      </x:c>
      <x:c r="E8" s="143" t="str">
        <x:v>留空</x:v>
      </x:c>
      <x:c r="F8" s="143" t="str">
        <x:v>例如实际订货金额；金额模式不适用</x:v>
      </x:c>
      <x:c r="G8" s="144" t="str">
        <x:v>实际订货金额</x:v>
      </x:c>
    </x:row>
    <x:row r="9">
      <x:c r="A9" s="142" t="str">
        <x:v>订单金额（元）</x:v>
      </x:c>
      <x:c r="B9" s="143" t="str">
        <x:v>金额</x:v>
      </x:c>
      <x:c r="C9" s="143" t="str">
        <x:v>公共</x:v>
      </x:c>
      <x:c r="D9" s="143" t="str">
        <x:v>建议填</x:v>
      </x:c>
      <x:c r="E9" s="143" t="str">
        <x:v>建议填</x:v>
      </x:c>
      <x:c r="F9" s="143" t="str">
        <x:v>订单原始金额，保留两位小数</x:v>
      </x:c>
      <x:c r="G9" s="144" t="str">
        <x:v>1000.00</x:v>
      </x:c>
    </x:row>
    <x:row r="10">
      <x:c r="A10" s="142" t="str">
        <x:v>上账金额（元）</x:v>
      </x:c>
      <x:c r="B10" s="143" t="str">
        <x:v>金额</x:v>
      </x:c>
      <x:c r="C10" s="143" t="str">
        <x:v>比例专用</x:v>
      </x:c>
      <x:c r="D10" s="143" t="str">
        <x:v>必填</x:v>
      </x:c>
      <x:c r="E10" s="143" t="str">
        <x:v>留空</x:v>
      </x:c>
      <x:c r="F10" s="143" t="str">
        <x:v>本次规则需要按比例分摊的金额</x:v>
      </x:c>
      <x:c r="G10" s="144" t="str">
        <x:v>100.00</x:v>
      </x:c>
    </x:row>
    <x:row r="11">
      <x:c r="A11" s="142" t="str">
        <x:v>订单最高核销比例</x:v>
      </x:c>
      <x:c r="B11" s="143" t="str">
        <x:v>百分比</x:v>
      </x:c>
      <x:c r="C11" s="143" t="str">
        <x:v>比例专用</x:v>
      </x:c>
      <x:c r="D11" s="143" t="str">
        <x:v>按业务填</x:v>
      </x:c>
      <x:c r="E11" s="143" t="str">
        <x:v>留空</x:v>
      </x:c>
      <x:c r="F11" s="143" t="str">
        <x:v>Excel 中保存为 0~1 的数值，例如 30%=0.3</x:v>
      </x:c>
      <x:c r="G11" s="144" t="str">
        <x:v>30.00%</x:v>
      </x:c>
    </x:row>
    <x:row r="12">
      <x:c r="A12" s="142" t="str">
        <x:v>核销次数运算符</x:v>
      </x:c>
      <x:c r="B12" s="143" t="str">
        <x:v>枚举</x:v>
      </x:c>
      <x:c r="C12" s="143" t="str">
        <x:v>比例专用</x:v>
      </x:c>
      <x:c r="D12" s="143" t="str">
        <x:v>按业务填</x:v>
      </x:c>
      <x:c r="E12" s="143" t="str">
        <x:v>留空</x:v>
      </x:c>
      <x:c r="F12" s="143" t="str">
        <x:v>如 =、&gt;=、&lt;=；对应页面的次数条件</x:v>
      </x:c>
      <x:c r="G12" s="144" t="str">
        <x:v>&gt;=</x:v>
      </x:c>
    </x:row>
    <x:row r="13">
      <x:c r="A13" s="142" t="str">
        <x:v>核销次数值</x:v>
      </x:c>
      <x:c r="B13" s="143" t="str">
        <x:v>整数</x:v>
      </x:c>
      <x:c r="C13" s="143" t="str">
        <x:v>比例专用</x:v>
      </x:c>
      <x:c r="D13" s="143" t="str">
        <x:v>按业务填</x:v>
      </x:c>
      <x:c r="E13" s="143" t="str">
        <x:v>留空</x:v>
      </x:c>
      <x:c r="F13" s="143" t="str">
        <x:v>与核销次数运算符配套</x:v>
      </x:c>
      <x:c r="G13" s="144" t="str">
        <x:v>4</x:v>
      </x:c>
    </x:row>
    <x:row r="14">
      <x:c r="A14" s="142" t="str">
        <x:v>明细总次数</x:v>
      </x:c>
      <x:c r="B14" s="143" t="str">
        <x:v>整数</x:v>
      </x:c>
      <x:c r="C14" s="143" t="str">
        <x:v>公共</x:v>
      </x:c>
      <x:c r="D14" s="143" t="str">
        <x:v>必填</x:v>
      </x:c>
      <x:c r="E14" s="143" t="str">
        <x:v>必填</x:v>
      </x:c>
      <x:c r="F14" s="143" t="str">
        <x:v>该规则实际导出的明细行数</x:v>
      </x:c>
      <x:c r="G14" s="144" t="str">
        <x:v>4</x:v>
      </x:c>
    </x:row>
    <x:row r="15">
      <x:c r="A15" s="142" t="str">
        <x:v>本次序号</x:v>
      </x:c>
      <x:c r="B15" s="143" t="str">
        <x:v>整数</x:v>
      </x:c>
      <x:c r="C15" s="143" t="str">
        <x:v>公共</x:v>
      </x:c>
      <x:c r="D15" s="143" t="str">
        <x:v>必填</x:v>
      </x:c>
      <x:c r="E15" s="143" t="str">
        <x:v>必填</x:v>
      </x:c>
      <x:c r="F15" s="143" t="str">
        <x:v>从 1 连续递增到明细总次数</x:v>
      </x:c>
      <x:c r="G15" s="144" t="str">
        <x:v>1</x:v>
      </x:c>
    </x:row>
    <x:row r="16">
      <x:c r="A16" s="142" t="str">
        <x:v>本次核销比例</x:v>
      </x:c>
      <x:c r="B16" s="143" t="str">
        <x:v>百分比</x:v>
      </x:c>
      <x:c r="C16" s="143" t="str">
        <x:v>比例专用</x:v>
      </x:c>
      <x:c r="D16" s="143" t="str">
        <x:v>必填</x:v>
      </x:c>
      <x:c r="E16" s="143" t="str">
        <x:v>留空</x:v>
      </x:c>
      <x:c r="F16" s="143" t="str">
        <x:v>每次分摊比例；所有比例之和按业务要求校验</x:v>
      </x:c>
      <x:c r="G16" s="144" t="str">
        <x:v>25.00%</x:v>
      </x:c>
    </x:row>
    <x:row r="17">
      <x:c r="A17" s="142" t="str">
        <x:v>本次最高核销金额（元）</x:v>
      </x:c>
      <x:c r="B17" s="143" t="str">
        <x:v>金额</x:v>
      </x:c>
      <x:c r="C17" s="143" t="str">
        <x:v>金额专用</x:v>
      </x:c>
      <x:c r="D17" s="143" t="str">
        <x:v>留空</x:v>
      </x:c>
      <x:c r="E17" s="143" t="str">
        <x:v>必填</x:v>
      </x:c>
      <x:c r="F17" s="143" t="str">
        <x:v>按金额模式下每次允许核销的金额上限</x:v>
      </x:c>
      <x:c r="G17" s="144" t="str">
        <x:v>20.00</x:v>
      </x:c>
    </x:row>
    <x:row r="18">
      <x:c r="A18" s="142" t="str">
        <x:v>本次预计核销金额（元）</x:v>
      </x:c>
      <x:c r="B18" s="143" t="str">
        <x:v>金额</x:v>
      </x:c>
      <x:c r="C18" s="143" t="str">
        <x:v>派生</x:v>
      </x:c>
      <x:c r="D18" s="143" t="str">
        <x:v>上账金额×比例</x:v>
      </x:c>
      <x:c r="E18" s="143" t="str">
        <x:v>等于本次最高金额</x:v>
      </x:c>
      <x:c r="F18" s="143" t="str">
        <x:v>建议后端直接输出；模板内用公式演示</x:v>
      </x:c>
      <x:c r="G18" s="144" t="str">
        <x:v>25.00</x:v>
      </x:c>
    </x:row>
    <x:row r="19">
      <x:c r="A19" s="142" t="str">
        <x:v>累计核销比例</x:v>
      </x:c>
      <x:c r="B19" s="143" t="str">
        <x:v>百分比</x:v>
      </x:c>
      <x:c r="C19" s="143" t="str">
        <x:v>派生</x:v>
      </x:c>
      <x:c r="D19" s="143" t="str">
        <x:v>累计本次比例</x:v>
      </x:c>
      <x:c r="E19" s="143" t="str">
        <x:v>留空</x:v>
      </x:c>
      <x:c r="F19" s="143" t="str">
        <x:v>按规则ID、序号累计</x:v>
      </x:c>
      <x:c r="G19" s="144" t="str">
        <x:v>50.00%</x:v>
      </x:c>
    </x:row>
    <x:row r="20">
      <x:c r="A20" s="142" t="str">
        <x:v>累计预计核销金额（元）</x:v>
      </x:c>
      <x:c r="B20" s="143" t="str">
        <x:v>金额</x:v>
      </x:c>
      <x:c r="C20" s="143" t="str">
        <x:v>派生</x:v>
      </x:c>
      <x:c r="D20" s="143" t="str">
        <x:v>累计预计金额</x:v>
      </x:c>
      <x:c r="E20" s="143" t="str">
        <x:v>累计预计金额</x:v>
      </x:c>
      <x:c r="F20" s="143" t="str">
        <x:v>按规则ID、序号累计</x:v>
      </x:c>
      <x:c r="G20" s="144" t="str">
        <x:v>50.00</x:v>
      </x:c>
    </x:row>
    <x:row r="21">
      <x:c r="A21" s="142" t="str">
        <x:v>说明</x:v>
      </x:c>
      <x:c r="B21" s="143" t="str">
        <x:v>文本</x:v>
      </x:c>
      <x:c r="C21" s="143" t="str">
        <x:v>公共</x:v>
      </x:c>
      <x:c r="D21" s="143" t="str">
        <x:v>可选</x:v>
      </x:c>
      <x:c r="E21" s="143" t="str">
        <x:v>可选</x:v>
      </x:c>
      <x:c r="F21" s="143" t="str">
        <x:v>对应每一核销次序的备注</x:v>
      </x:c>
      <x:c r="G21" s="144" t="str">
        <x:v>第一次比例</x:v>
      </x:c>
    </x:row>
    <x:row r="22">
      <x:c r="A22" s="142" t="str">
        <x:v>状态</x:v>
      </x:c>
      <x:c r="B22" s="143" t="str">
        <x:v>枚举</x:v>
      </x:c>
      <x:c r="C22" s="143" t="str">
        <x:v>公共</x:v>
      </x:c>
      <x:c r="D22" s="143" t="str">
        <x:v>建议填</x:v>
      </x:c>
      <x:c r="E22" s="143" t="str">
        <x:v>建议填</x:v>
      </x:c>
      <x:c r="F22" s="143" t="str">
        <x:v>例如草稿、生效、停用</x:v>
      </x:c>
      <x:c r="G22" s="144" t="str">
        <x:v>生效</x:v>
      </x:c>
    </x:row>
    <x:row r="23">
      <x:c r="A23" s="145" t="str">
        <x:v>导出时间</x:v>
      </x:c>
      <x:c r="B23" s="146" t="str">
        <x:v>日期时间</x:v>
      </x:c>
      <x:c r="C23" s="146" t="str">
        <x:v>公共</x:v>
      </x:c>
      <x:c r="D23" s="146" t="str">
        <x:v>建议填</x:v>
      </x:c>
      <x:c r="E23" s="146" t="str">
        <x:v>建议填</x:v>
      </x:c>
      <x:c r="F23" s="146" t="str">
        <x:v>真实日期时间值，显示格式 yyyy-mm-dd hh:mm:ss</x:v>
      </x:c>
      <x:c r="G23" s="147" t="str">
        <x:v>2026-07-03 10:30:00</x:v>
      </x:c>
    </x:row>
    <x:row r="25">
      <x:c r="A25" s="150" t="str">
        <x:v>后端导出校验建议</x:v>
      </x:c>
      <x:c r="B25" s="150"/>
      <x:c r="C25" s="150"/>
      <x:c r="D25" s="150"/>
      <x:c r="E25" s="150"/>
      <x:c r="F25" s="150"/>
      <x:c r="G25" s="150"/>
    </x:row>
    <x:row r="26" ht="24" customHeight="1">
      <x:c r="A26" s="154" t="str">
        <x:v>1. 按比例核销：本次核销比例必填，本次最高核销金额必须为空。</x:v>
      </x:c>
      <x:c r="B26" s="154"/>
      <x:c r="C26" s="154"/>
      <x:c r="D26" s="154"/>
      <x:c r="E26" s="154"/>
      <x:c r="F26" s="154"/>
      <x:c r="G26" s="154"/>
    </x:row>
    <x:row r="27" ht="24" customHeight="1">
      <x:c r="A27" s="154" t="str">
        <x:v>2. 按金额核销：本次最高核销金额必填，本次核销比例必须为空。</x:v>
      </x:c>
      <x:c r="B27" s="154"/>
      <x:c r="C27" s="154"/>
      <x:c r="D27" s="154"/>
      <x:c r="E27" s="154"/>
      <x:c r="F27" s="154"/>
      <x:c r="G27" s="154"/>
    </x:row>
    <x:row r="28" ht="24" customHeight="1">
      <x:c r="A28" s="154" t="str">
        <x:v>3. 明细总次数应等于同一规则ID的导出行数，本次序号应从1连续递增。</x:v>
      </x:c>
      <x:c r="B28" s="154"/>
      <x:c r="C28" s="154"/>
      <x:c r="D28" s="154"/>
      <x:c r="E28" s="154"/>
      <x:c r="F28" s="154"/>
      <x:c r="G28" s="154"/>
    </x:row>
    <x:row r="29" ht="24" customHeight="1">
      <x:c r="A29" s="154" t="str">
        <x:v>4. 金额使用数值类型并保留两位小数；比例使用0~1的数值类型，不要导出成带%号的文本。</x:v>
      </x:c>
      <x:c r="B29" s="154"/>
      <x:c r="C29" s="154"/>
      <x:c r="D29" s="154"/>
      <x:c r="E29" s="154"/>
      <x:c r="F29" s="154"/>
      <x:c r="G29" s="154"/>
    </x:row>
    <x:row r="30" ht="24" customHeight="1">
      <x:c r="A30" s="154" t="str">
        <x:v>5. 若只想导出原始配置，可删除三个派生列：本次预计核销金额、累计核销比例、累计预计核销金额。</x:v>
      </x:c>
      <x:c r="B30" s="154"/>
      <x:c r="C30" s="154"/>
      <x:c r="D30" s="154"/>
      <x:c r="E30" s="154"/>
      <x:c r="F30" s="154"/>
      <x:c r="G30" s="154"/>
    </x:row>
  </x:sheetData>
  <x:mergeCells>
    <x:mergeCell ref="A1:G1"/>
    <x:mergeCell ref="A25:G25"/>
    <x:mergeCell ref="A26:G26"/>
    <x:mergeCell ref="A27:G27"/>
    <x:mergeCell ref="A28:G28"/>
    <x:mergeCell ref="A29:G29"/>
    <x:mergeCell ref="A30:G30"/>
  </x:mergeCells>
  <x:pageMargins left="0.7" right="0.7" top="0.75" bottom="0.75" header="0.3" footer="0.3"/>
  <x:tableParts count="1">
    <x:tablePart xmlns:r="http://schemas.openxmlformats.org/officeDocument/2006/relationships" r:id="R9f5fde1b91b44b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3" hidden="0" customWidth="1"/>
    <x:col min="3" max="3" width="15" hidden="0" customWidth="1"/>
    <x:col min="4" max="4" width="15" hidden="0" customWidth="1"/>
    <x:col min="5" max="5" width="16" hidden="0" customWidth="1"/>
    <x:col min="6" max="6" width="14" hidden="0" customWidth="1"/>
    <x:col min="7" max="7" width="19" hidden="0" customWidth="1"/>
    <x:col min="8" max="8" width="17" hidden="0" customWidth="1"/>
    <x:col min="9" max="9" width="19" hidden="0" customWidth="1"/>
    <x:col min="10" max="10" width="22" hidden="0" customWidth="1"/>
    <x:col min="11" max="11" width="15" hidden="0" customWidth="1"/>
    <x:col min="12" max="12" width="20" hidden="0" customWidth="1"/>
    <x:col min="13" max="13" width="13" hidden="0" customWidth="1"/>
    <x:col min="14" max="14" width="17" hidden="0" customWidth="1"/>
    <x:col min="15" max="15" width="17" hidden="0" customWidth="1"/>
    <x:col min="16" max="16" width="25" hidden="0" customWidth="1"/>
    <x:col min="17" max="17" width="34" hidden="0" customWidth="1"/>
    <x:col min="18" max="18" width="12" hidden="0" customWidth="1"/>
    <x:col min="19" max="19" width="12" hidden="0" customWidth="1"/>
    <x:col min="20" max="20" width="21" hidden="0" customWidth="1"/>
  </x:cols>
  <x:sheetData>
    <x:row r="1" ht="32" customHeight="1">
      <x:c r="A1" s="113" t="str">
        <x:v>特价活动执行情况导出模板</x:v>
      </x:c>
      <x:c r="B1" s="113"/>
      <x:c r="C1" s="113"/>
      <x:c r="D1" s="113"/>
      <x:c r="E1" s="113"/>
      <x:c r="F1" s="113"/>
      <x:c r="G1" s="113"/>
      <x:c r="H1" s="113"/>
      <x:c r="I1" s="113"/>
      <x:c r="J1" s="113"/>
      <x:c r="K1" s="113"/>
      <x:c r="L1" s="113"/>
      <x:c r="M1" s="113"/>
      <x:c r="N1" s="113"/>
      <x:c r="O1" s="113"/>
      <x:c r="P1" s="113"/>
      <x:c r="Q1" s="113"/>
      <x:c r="R1" s="113"/>
      <x:c r="S1" s="113"/>
      <x:c r="T1" s="113"/>
    </x:row>
    <x:row r="2" ht="28" customHeight="1">
      <x:c r="A2" s="157" t="str">
        <x:v>一场活动占一行；商品、附件和操作日志采用独立明细表，通过活动ID关联。灰色单元格为派生字段示例。</x:v>
      </x:c>
      <x:c r="B2" s="157"/>
      <x:c r="C2" s="157"/>
      <x:c r="D2" s="157"/>
      <x:c r="E2" s="157"/>
      <x:c r="F2" s="157"/>
      <x:c r="G2" s="157"/>
      <x:c r="H2" s="157"/>
      <x:c r="I2" s="157"/>
      <x:c r="J2" s="157"/>
      <x:c r="K2" s="157"/>
      <x:c r="L2" s="157"/>
      <x:c r="M2" s="157"/>
      <x:c r="N2" s="157"/>
      <x:c r="O2" s="157"/>
      <x:c r="P2" s="157"/>
      <x:c r="Q2" s="157"/>
      <x:c r="R2" s="157"/>
      <x:c r="S2" s="157"/>
      <x:c r="T2" s="157"/>
    </x:row>
    <x:row r="5" ht="40" customHeight="1">
      <x:c r="A5" s="120" t="str">
        <x:v>活动ID</x:v>
      </x:c>
      <x:c r="B5" s="120" t="str">
        <x:v>活动名称</x:v>
      </x:c>
      <x:c r="C5" s="120" t="str">
        <x:v>活动开始日期</x:v>
      </x:c>
      <x:c r="D5" s="120" t="str">
        <x:v>活动结束日期</x:v>
      </x:c>
      <x:c r="E5" s="120" t="str">
        <x:v>实际活动门店数</x:v>
      </x:c>
      <x:c r="F5" s="120" t="str">
        <x:v>实际活动天数</x:v>
      </x:c>
      <x:c r="G5" s="120" t="str">
        <x:v>实际变价补差（元）</x:v>
      </x:c>
      <x:c r="H5" s="120" t="str">
        <x:v>实际海报费（元）</x:v>
      </x:c>
      <x:c r="I5" s="120" t="str">
        <x:v>实际费用合计（元）</x:v>
      </x:c>
      <x:c r="J5" s="120" t="str">
        <x:v>我司实际承担合计（元）</x:v>
      </x:c>
      <x:c r="K5" s="120" t="str">
        <x:v>我司承担比例</x:v>
      </x:c>
      <x:c r="L5" s="120" t="str">
        <x:v>实际促销POS额（元）</x:v>
      </x:c>
      <x:c r="M5" s="120" t="str">
        <x:v>费销比</x:v>
      </x:c>
      <x:c r="N5" s="120" t="str">
        <x:v>扣减金额（元）</x:v>
      </x:c>
      <x:c r="O5" s="120" t="str">
        <x:v>上账金额（元）</x:v>
      </x:c>
      <x:c r="P5" s="120" t="str">
        <x:v>扣减原因</x:v>
      </x:c>
      <x:c r="Q5" s="120" t="str">
        <x:v>备注说明</x:v>
      </x:c>
      <x:c r="R5" s="120" t="str">
        <x:v>状态</x:v>
      </x:c>
      <x:c r="S5" s="120" t="str">
        <x:v>创建人</x:v>
      </x:c>
      <x:c r="T5" s="120" t="str">
        <x:v>创建时间</x:v>
      </x:c>
    </x:row>
    <x:row r="6">
      <x:c r="A6" s="174" t="str">
        <x:v>ACT-20260213-001</x:v>
      </x:c>
      <x:c r="B6" s="175" t="str">
        <x:v>2026年2月特价活动</x:v>
      </x:c>
      <x:c r="C6" s="177" t="n">
        <x:v>46066</x:v>
      </x:c>
      <x:c r="D6" s="177" t="n">
        <x:v>46066</x:v>
      </x:c>
      <x:c r="E6" s="178" t="n">
        <x:v>2</x:v>
      </x:c>
      <x:c r="F6" s="182" t="n">
        <x:f>D6-C6+1</x:f>
        <x:v>1</x:v>
      </x:c>
      <x:c r="G6" s="183" t="n">
        <x:f>SUMIFS('活动商品明细'!$H$6:$H$205,'活动商品明细'!$A$6:$A$205,A6)</x:f>
        <x:v>1531.8999999999999</x:v>
      </x:c>
      <x:c r="H6" s="179" t="n">
        <x:v>1234.12</x:v>
      </x:c>
      <x:c r="I6" s="183" t="n">
        <x:f>G6+H6</x:f>
        <x:v>2766.0199999999995</x:v>
      </x:c>
      <x:c r="J6" s="179" t="n">
        <x:v>2214.56</x:v>
      </x:c>
      <x:c r="K6" s="184" t="n">
        <x:f>IFERROR(J6/I6,0)</x:f>
        <x:v>0.8006305088177238</x:v>
      </x:c>
      <x:c r="L6" s="183" t="n">
        <x:f>SUMIFS('活动商品明细'!$I$6:$I$205,'活动商品明细'!$A$6:$A$205,A6)</x:f>
        <x:v>5867.4</x:v>
      </x:c>
      <x:c r="M6" s="184" t="n">
        <x:f>IFERROR(J6/L6,0)</x:f>
        <x:v>0.3774346388519617</x:v>
      </x:c>
      <x:c r="N6" s="179" t="n">
        <x:v>700.99</x:v>
      </x:c>
      <x:c r="O6" s="183" t="n">
        <x:f>J6-N6</x:f>
        <x:v>1513.57</x:v>
      </x:c>
      <x:c r="P6" s="175" t="str">
        <x:v>662+52</x:v>
      </x:c>
      <x:c r="Q6" s="175" t="str">
        <x:v>示例数据，导出时替换为实际活动信息</x:v>
      </x:c>
      <x:c r="R6" s="175" t="str">
        <x:v>待审核</x:v>
      </x:c>
      <x:c r="S6" s="175" t="str">
        <x:v>钱佳音</x:v>
      </x:c>
      <x:c r="T6" s="181" t="n">
        <x:v>46089.096724537034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fb1802c6ee8846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48" hidden="0" customWidth="1"/>
    <x:col min="4" max="4" width="12" hidden="0" customWidth="1"/>
    <x:col min="5" max="5" width="13" hidden="0" customWidth="1"/>
    <x:col min="6" max="6" width="18" hidden="0" customWidth="1"/>
    <x:col min="7" max="7" width="19" hidden="0" customWidth="1"/>
    <x:col min="8" max="8" width="23" hidden="0" customWidth="1"/>
    <x:col min="9" max="9" width="18" hidden="0" customWidth="1"/>
  </x:cols>
  <x:sheetData>
    <x:row r="1" ht="32" customHeight="1">
      <x:c r="A1" s="113" t="str">
        <x:v>特价活动商品明细导出模板</x:v>
      </x:c>
      <x:c r="B1" s="113"/>
      <x:c r="C1" s="113"/>
      <x:c r="D1" s="113"/>
      <x:c r="E1" s="113"/>
      <x:c r="F1" s="113"/>
      <x:c r="G1" s="113"/>
      <x:c r="H1" s="113"/>
      <x:c r="I1" s="113"/>
    </x:row>
    <x:row r="2" ht="28" customHeight="1">
      <x:c r="A2" s="157" t="str">
        <x:v>兼容动态商品数量：每个商品占一行，通过活动ID关联“活动执行汇总”。实际变价补差金额和POS销售额为公式派生示例。</x:v>
      </x:c>
      <x:c r="B2" s="157"/>
      <x:c r="C2" s="157"/>
      <x:c r="D2" s="157"/>
      <x:c r="E2" s="157"/>
      <x:c r="F2" s="157"/>
      <x:c r="G2" s="157"/>
      <x:c r="H2" s="157"/>
      <x:c r="I2" s="157"/>
    </x:row>
    <x:row r="5" ht="40" customHeight="1">
      <x:c r="A5" s="120" t="str">
        <x:v>活动ID</x:v>
      </x:c>
      <x:c r="B5" s="120" t="str">
        <x:v>序号</x:v>
      </x:c>
      <x:c r="C5" s="120" t="str">
        <x:v>商品名称</x:v>
      </x:c>
      <x:c r="D5" s="120" t="str">
        <x:v>商品单位</x:v>
      </x:c>
      <x:c r="E5" s="120" t="str">
        <x:v>实际销量</x:v>
      </x:c>
      <x:c r="F5" s="120" t="str">
        <x:v>正常销售单价（元）</x:v>
      </x:c>
      <x:c r="G5" s="120" t="str">
        <x:v>促销补差单价（元）</x:v>
      </x:c>
      <x:c r="H5" s="120" t="str">
        <x:v>实际变价补差金额（元）</x:v>
      </x:c>
      <x:c r="I5" s="120" t="str">
        <x:v>POS销售额（元）</x:v>
      </x:c>
    </x:row>
    <x:row r="6">
      <x:c r="A6" s="139" t="str">
        <x:v>ACT-20260213-001</x:v>
      </x:c>
      <x:c r="B6" s="158" t="n">
        <x:v>1</x:v>
      </x:c>
      <x:c r="C6" s="140" t="str">
        <x:v>虎皮鸡爪·脱骨装-300克-香辣（冷藏）9个月（85%-虎皮冷藏-罐）</x:v>
      </x:c>
      <x:c r="D6" s="140" t="str">
        <x:v>罐</x:v>
      </x:c>
      <x:c r="E6" s="160" t="n">
        <x:v>120</x:v>
      </x:c>
      <x:c r="F6" s="160" t="n">
        <x:v>18.88</x:v>
      </x:c>
      <x:c r="G6" s="160" t="n">
        <x:v>7.84</x:v>
      </x:c>
      <x:c r="H6" s="164" t="n">
        <x:f>E6*G6</x:f>
        <x:v>940.8</x:v>
      </x:c>
      <x:c r="I6" s="165" t="n">
        <x:f>E6*F6</x:f>
        <x:v>2265.6</x:v>
      </x:c>
    </x:row>
    <x:row r="7">
      <x:c r="A7" s="145" t="str">
        <x:v>ACT-20260213-001</x:v>
      </x:c>
      <x:c r="B7" s="159" t="n">
        <x:v>2</x:v>
      </x:c>
      <x:c r="C7" s="146" t="str">
        <x:v>鸡爪test111（70%-无骨-冷藏-袋）</x:v>
      </x:c>
      <x:c r="D7" s="146" t="str">
        <x:v>袋</x:v>
      </x:c>
      <x:c r="E7" s="161" t="n">
        <x:v>230</x:v>
      </x:c>
      <x:c r="F7" s="161" t="n">
        <x:v>15.66</x:v>
      </x:c>
      <x:c r="G7" s="161" t="n">
        <x:v>2.57</x:v>
      </x:c>
      <x:c r="H7" s="166" t="n">
        <x:f>E7*G7</x:f>
        <x:v>591.0999999999999</x:v>
      </x:c>
      <x:c r="I7" s="167" t="n">
        <x:f>E7*F7</x:f>
        <x:v>3601.8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d498ca0b3f347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30" hidden="0" customWidth="1"/>
    <x:col min="4" max="4" width="26" hidden="0" customWidth="1"/>
    <x:col min="5" max="5" width="12" hidden="0" customWidth="1"/>
    <x:col min="6" max="6" width="12" hidden="0" customWidth="1"/>
    <x:col min="7" max="7" width="14" hidden="0" customWidth="1"/>
    <x:col min="8" max="8" width="54" hidden="0" customWidth="1"/>
    <x:col min="9" max="9" width="21" hidden="0" customWidth="1"/>
    <x:col min="10" max="10" width="30" hidden="0" customWidth="1"/>
  </x:cols>
  <x:sheetData>
    <x:row r="1" ht="32" customHeight="1">
      <x:c r="A1" s="113" t="str">
        <x:v>特价活动附件清单导出模板</x:v>
      </x:c>
      <x:c r="B1" s="113"/>
      <x:c r="C1" s="113"/>
      <x:c r="D1" s="113"/>
      <x:c r="E1" s="113"/>
      <x:c r="F1" s="113"/>
      <x:c r="G1" s="113"/>
      <x:c r="H1" s="113"/>
      <x:c r="I1" s="113"/>
      <x:c r="J1" s="113"/>
    </x:row>
    <x:row r="2" ht="28" customHeight="1">
      <x:c r="A2" s="157" t="str">
        <x:v>建议导出附件元数据和系统访问地址，不直接把原图嵌入Excel；同一分类有多份文件时，每份文件占一行。</x:v>
      </x:c>
      <x:c r="B2" s="157"/>
      <x:c r="C2" s="157"/>
      <x:c r="D2" s="157"/>
      <x:c r="E2" s="157"/>
      <x:c r="F2" s="157"/>
      <x:c r="G2" s="157"/>
      <x:c r="H2" s="157"/>
      <x:c r="I2" s="157"/>
      <x:c r="J2" s="157"/>
    </x:row>
    <x:row r="5" ht="40" customHeight="1">
      <x:c r="A5" s="120" t="str">
        <x:v>活动ID</x:v>
      </x:c>
      <x:c r="B5" s="120" t="str">
        <x:v>序号</x:v>
      </x:c>
      <x:c r="C5" s="120" t="str">
        <x:v>附件分类</x:v>
      </x:c>
      <x:c r="D5" s="120" t="str">
        <x:v>文件名称</x:v>
      </x:c>
      <x:c r="E5" s="120" t="str">
        <x:v>文件格式</x:v>
      </x:c>
      <x:c r="F5" s="120" t="str">
        <x:v>是否水印</x:v>
      </x:c>
      <x:c r="G5" s="120" t="str">
        <x:v>上传状态</x:v>
      </x:c>
      <x:c r="H5" s="120" t="str">
        <x:v>文件URL/存储路径</x:v>
      </x:c>
      <x:c r="I5" s="120" t="str">
        <x:v>上传时间</x:v>
      </x:c>
      <x:c r="J5" s="120" t="str">
        <x:v>备注</x:v>
      </x:c>
    </x:row>
    <x:row r="6">
      <x:c r="A6" s="139" t="str">
        <x:v>ACT-20260213-001</x:v>
      </x:c>
      <x:c r="B6" s="158" t="n">
        <x:v>1</x:v>
      </x:c>
      <x:c r="C6" s="140" t="str">
        <x:v>销售数据结案表</x:v>
      </x:c>
      <x:c r="D6" s="140" t="str">
        <x:v>订单列表(12).xls</x:v>
      </x:c>
      <x:c r="E6" s="140" t="str">
        <x:v>xls</x:v>
      </x:c>
      <x:c r="F6" s="140" t="str">
        <x:v>否</x:v>
      </x:c>
      <x:c r="G6" s="140" t="str">
        <x:v>已上传</x:v>
      </x:c>
      <x:c r="H6" s="140" t="str">
        <x:v>/files/activity/ACT-20260213-001/订单列表(12).xls</x:v>
      </x:c>
      <x:c r="I6" s="186" t="n">
        <x:v>46089.09027777778</x:v>
      </x:c>
      <x:c r="J6" s="141" t="str">
        <x:v>页面必传文件</x:v>
      </x:c>
    </x:row>
    <x:row r="7">
      <x:c r="A7" s="142" t="str">
        <x:v>ACT-20260213-001</x:v>
      </x:c>
      <x:c r="B7" s="185" t="n">
        <x:v>2</x:v>
      </x:c>
      <x:c r="C7" s="143" t="str">
        <x:v>促销变价补差系统扣款凭证</x:v>
      </x:c>
      <x:c r="D7" s="143" t="str">
        <x:v>扣款凭证.jpg</x:v>
      </x:c>
      <x:c r="E7" s="143" t="str">
        <x:v>jpg</x:v>
      </x:c>
      <x:c r="F7" s="143" t="str">
        <x:v>是</x:v>
      </x:c>
      <x:c r="G7" s="143" t="str">
        <x:v>已上传</x:v>
      </x:c>
      <x:c r="H7" s="143" t="str">
        <x:v>/files/activity/ACT-20260213-001/扣款凭证.jpg</x:v>
      </x:c>
      <x:c r="I7" s="187" t="n">
        <x:v>46089.09166666667</x:v>
      </x:c>
      <x:c r="J7" s="144" t="str">
        <x:v>图片需带水印</x:v>
      </x:c>
    </x:row>
    <x:row r="8">
      <x:c r="A8" s="142" t="str">
        <x:v>ACT-20260213-001</x:v>
      </x:c>
      <x:c r="B8" s="185" t="n">
        <x:v>3</x:v>
      </x:c>
      <x:c r="C8" s="143" t="str">
        <x:v>价签卡照片</x:v>
      </x:c>
      <x:c r="D8" s="143" t="str">
        <x:v>价签卡照片.jpg</x:v>
      </x:c>
      <x:c r="E8" s="143" t="str">
        <x:v>jpg</x:v>
      </x:c>
      <x:c r="F8" s="143" t="str">
        <x:v>是</x:v>
      </x:c>
      <x:c r="G8" s="143" t="str">
        <x:v>已上传</x:v>
      </x:c>
      <x:c r="H8" s="143" t="str">
        <x:v>/files/activity/ACT-20260213-001/价签卡照片.jpg</x:v>
      </x:c>
      <x:c r="I8" s="187" t="n">
        <x:v>46089.092361111114</x:v>
      </x:c>
      <x:c r="J8" s="144" t="str">
        <x:v>图片需带水印</x:v>
      </x:c>
    </x:row>
    <x:row r="9">
      <x:c r="A9" s="142" t="str">
        <x:v>ACT-20260213-001</x:v>
      </x:c>
      <x:c r="B9" s="185" t="n">
        <x:v>4</x:v>
      </x:c>
      <x:c r="C9" s="143" t="str">
        <x:v>DM海报原件或复印件</x:v>
      </x:c>
      <x:c r="D9" s="143" t="str">
        <x:v>DM海报.jpg</x:v>
      </x:c>
      <x:c r="E9" s="143" t="str">
        <x:v>jpg</x:v>
      </x:c>
      <x:c r="F9" s="143" t="str">
        <x:v>是</x:v>
      </x:c>
      <x:c r="G9" s="143" t="str">
        <x:v>已上传</x:v>
      </x:c>
      <x:c r="H9" s="143" t="str">
        <x:v>/files/activity/ACT-20260213-001/DM海报.jpg</x:v>
      </x:c>
      <x:c r="I9" s="187" t="n">
        <x:v>46089.09305555555</x:v>
      </x:c>
      <x:c r="J9" s="144" t="str">
        <x:v>存在海报费用时必传</x:v>
      </x:c>
    </x:row>
    <x:row r="10">
      <x:c r="A10" s="145" t="str">
        <x:v>ACT-20260213-001</x:v>
      </x:c>
      <x:c r="B10" s="159" t="n">
        <x:v>5</x:v>
      </x:c>
      <x:c r="C10" s="146" t="str">
        <x:v>档期陈列照片</x:v>
      </x:c>
      <x:c r="D10" s="146"/>
      <x:c r="E10" s="146"/>
      <x:c r="F10" s="146" t="str">
        <x:v>是</x:v>
      </x:c>
      <x:c r="G10" s="146" t="str">
        <x:v>未上传</x:v>
      </x:c>
      <x:c r="H10" s="146"/>
      <x:c r="I10" s="188"/>
      <x:c r="J10" s="147" t="str">
        <x:v>无文件时保留分类并标记未上传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3f891f5cc814c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5" hidden="0" customWidth="1"/>
    <x:col min="5" max="5" width="14" hidden="0" customWidth="1"/>
    <x:col min="6" max="6" width="21" hidden="0" customWidth="1"/>
    <x:col min="7" max="7" width="36" hidden="0" customWidth="1"/>
  </x:cols>
  <x:sheetData>
    <x:row r="1" ht="32" customHeight="1">
      <x:c r="A1" s="113" t="str">
        <x:v>特价活动操作日志导出模板</x:v>
      </x:c>
      <x:c r="B1" s="113"/>
      <x:c r="C1" s="113"/>
      <x:c r="D1" s="113"/>
      <x:c r="E1" s="113"/>
      <x:c r="F1" s="113"/>
      <x:c r="G1" s="113"/>
    </x:row>
    <x:row r="2" ht="28" customHeight="1">
      <x:c r="A2" s="157" t="str">
        <x:v>每次创建、编辑、提交、审核、驳回等操作单独导出一行，通过活动ID关联活动。</x:v>
      </x:c>
      <x:c r="B2" s="157"/>
      <x:c r="C2" s="157"/>
      <x:c r="D2" s="157"/>
      <x:c r="E2" s="157"/>
      <x:c r="F2" s="157"/>
      <x:c r="G2" s="157"/>
    </x:row>
    <x:row r="5" ht="40" customHeight="1">
      <x:c r="A5" s="120" t="str">
        <x:v>活动ID</x:v>
      </x:c>
      <x:c r="B5" s="120" t="str">
        <x:v>日志序号</x:v>
      </x:c>
      <x:c r="C5" s="120" t="str">
        <x:v>操作人</x:v>
      </x:c>
      <x:c r="D5" s="120" t="str">
        <x:v>操作类型</x:v>
      </x:c>
      <x:c r="E5" s="120" t="str">
        <x:v>操作结果</x:v>
      </x:c>
      <x:c r="F5" s="120" t="str">
        <x:v>操作时间</x:v>
      </x:c>
      <x:c r="G5" s="120" t="str">
        <x:v>备注</x:v>
      </x:c>
    </x:row>
    <x:row r="6">
      <x:c r="A6" s="174" t="str">
        <x:v>ACT-20260213-001</x:v>
      </x:c>
      <x:c r="B6" s="178" t="n">
        <x:v>1</x:v>
      </x:c>
      <x:c r="C6" s="175" t="str">
        <x:v>钱佳音</x:v>
      </x:c>
      <x:c r="D6" s="175" t="str">
        <x:v>创建</x:v>
      </x:c>
      <x:c r="E6" s="175" t="str">
        <x:v>成功</x:v>
      </x:c>
      <x:c r="F6" s="189" t="n">
        <x:v>46089.096724537034</x:v>
      </x:c>
      <x:c r="G6" s="176" t="str">
        <x:v>页面操作日志示例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33966d5f9a141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9" hidden="0" customWidth="1"/>
    <x:col min="3" max="3" width="14" hidden="0" customWidth="1"/>
    <x:col min="4" max="4" width="14" hidden="0" customWidth="1"/>
    <x:col min="5" max="5" width="33" hidden="0" customWidth="1"/>
    <x:col min="6" max="6" width="47" hidden="0" customWidth="1"/>
    <x:col min="7" max="7" width="25" hidden="0" customWidth="1"/>
  </x:cols>
  <x:sheetData>
    <x:row r="1" ht="32" customHeight="1">
      <x:c r="A1" s="113" t="str">
        <x:v>特价活动导出字段说明</x:v>
      </x:c>
      <x:c r="B1" s="113"/>
      <x:c r="C1" s="113"/>
      <x:c r="D1" s="113"/>
      <x:c r="E1" s="113"/>
      <x:c r="F1" s="113"/>
      <x:c r="G1" s="113"/>
    </x:row>
    <x:row r="3">
      <x:c r="A3" s="120" t="str">
        <x:v>所属Sheet</x:v>
      </x:c>
      <x:c r="B3" s="120" t="str">
        <x:v>字段名</x:v>
      </x:c>
      <x:c r="C3" s="120" t="str">
        <x:v>数据类型</x:v>
      </x:c>
      <x:c r="D3" s="120" t="str">
        <x:v>必填</x:v>
      </x:c>
      <x:c r="E3" s="120" t="str">
        <x:v>说明</x:v>
      </x:c>
      <x:c r="F3" s="120" t="str">
        <x:v>取值/计算规则</x:v>
      </x:c>
      <x:c r="G3" s="120" t="str">
        <x:v>示例</x:v>
      </x:c>
    </x:row>
    <x:row r="4">
      <x:c r="A4" s="139" t="str">
        <x:v>活动执行汇总</x:v>
      </x:c>
      <x:c r="B4" s="140" t="str">
        <x:v>活动ID</x:v>
      </x:c>
      <x:c r="C4" s="140" t="str">
        <x:v>文本</x:v>
      </x:c>
      <x:c r="D4" s="140" t="str">
        <x:v>是</x:v>
      </x:c>
      <x:c r="E4" s="140" t="str">
        <x:v>跨表关联主键</x:v>
      </x:c>
      <x:c r="F4" s="140" t="str">
        <x:v>同一活动在所有Sheet保持一致</x:v>
      </x:c>
      <x:c r="G4" s="141" t="str">
        <x:v>ACT-20260213-001</x:v>
      </x:c>
    </x:row>
    <x:row r="5">
      <x:c r="A5" s="142" t="str">
        <x:v>活动执行汇总</x:v>
      </x:c>
      <x:c r="B5" s="143" t="str">
        <x:v>活动名称</x:v>
      </x:c>
      <x:c r="C5" s="143" t="str">
        <x:v>文本</x:v>
      </x:c>
      <x:c r="D5" s="143" t="str">
        <x:v>建议</x:v>
      </x:c>
      <x:c r="E5" s="143" t="str">
        <x:v>活动标题</x:v>
      </x:c>
      <x:c r="F5" s="143" t="str">
        <x:v>按业务名称导出</x:v>
      </x:c>
      <x:c r="G5" s="144" t="str">
        <x:v>2026年2月特价活动</x:v>
      </x:c>
    </x:row>
    <x:row r="6">
      <x:c r="A6" s="142" t="str">
        <x:v>活动执行汇总</x:v>
      </x:c>
      <x:c r="B6" s="143" t="str">
        <x:v>活动开始日期</x:v>
      </x:c>
      <x:c r="C6" s="143" t="str">
        <x:v>日期</x:v>
      </x:c>
      <x:c r="D6" s="143" t="str">
        <x:v>是</x:v>
      </x:c>
      <x:c r="E6" s="143" t="str">
        <x:v>特价活动开始日期</x:v>
      </x:c>
      <x:c r="F6" s="143" t="str">
        <x:v>Excel真实日期值</x:v>
      </x:c>
      <x:c r="G6" s="144" t="str">
        <x:v>2026-02-13</x:v>
      </x:c>
    </x:row>
    <x:row r="7">
      <x:c r="A7" s="142" t="str">
        <x:v>活动执行汇总</x:v>
      </x:c>
      <x:c r="B7" s="143" t="str">
        <x:v>活动结束日期</x:v>
      </x:c>
      <x:c r="C7" s="143" t="str">
        <x:v>日期</x:v>
      </x:c>
      <x:c r="D7" s="143" t="str">
        <x:v>是</x:v>
      </x:c>
      <x:c r="E7" s="143" t="str">
        <x:v>特价活动结束日期</x:v>
      </x:c>
      <x:c r="F7" s="143" t="str">
        <x:v>不得早于开始日期</x:v>
      </x:c>
      <x:c r="G7" s="144" t="str">
        <x:v>2026-02-13</x:v>
      </x:c>
    </x:row>
    <x:row r="8">
      <x:c r="A8" s="142" t="str">
        <x:v>活动执行汇总</x:v>
      </x:c>
      <x:c r="B8" s="143" t="str">
        <x:v>实际活动门店数</x:v>
      </x:c>
      <x:c r="C8" s="143" t="str">
        <x:v>整数</x:v>
      </x:c>
      <x:c r="D8" s="143" t="str">
        <x:v>是</x:v>
      </x:c>
      <x:c r="E8" s="143" t="str">
        <x:v>参与活动的实际门店数量</x:v>
      </x:c>
      <x:c r="F8" s="143" t="str">
        <x:v>非负整数</x:v>
      </x:c>
      <x:c r="G8" s="144" t="str">
        <x:v>2</x:v>
      </x:c>
    </x:row>
    <x:row r="9">
      <x:c r="A9" s="142" t="str">
        <x:v>活动执行汇总</x:v>
      </x:c>
      <x:c r="B9" s="143" t="str">
        <x:v>实际活动天数</x:v>
      </x:c>
      <x:c r="C9" s="143" t="str">
        <x:v>整数</x:v>
      </x:c>
      <x:c r="D9" s="143" t="str">
        <x:v>派生</x:v>
      </x:c>
      <x:c r="E9" s="143" t="str">
        <x:v>包含首尾日期的活动天数</x:v>
      </x:c>
      <x:c r="F9" s="143" t="str">
        <x:v>结束日期-开始日期+1</x:v>
      </x:c>
      <x:c r="G9" s="144" t="str">
        <x:v>1</x:v>
      </x:c>
    </x:row>
    <x:row r="10">
      <x:c r="A10" s="142" t="str">
        <x:v>活动执行汇总</x:v>
      </x:c>
      <x:c r="B10" s="143" t="str">
        <x:v>实际变价补差（元）</x:v>
      </x:c>
      <x:c r="C10" s="143" t="str">
        <x:v>金额</x:v>
      </x:c>
      <x:c r="D10" s="143" t="str">
        <x:v>派生</x:v>
      </x:c>
      <x:c r="E10" s="143" t="str">
        <x:v>全部商品实际变价补差金额合计</x:v>
      </x:c>
      <x:c r="F10" s="143" t="str">
        <x:v>按活动ID汇总商品明细</x:v>
      </x:c>
      <x:c r="G10" s="144" t="str">
        <x:v>1531.90</x:v>
      </x:c>
    </x:row>
    <x:row r="11">
      <x:c r="A11" s="142" t="str">
        <x:v>活动执行汇总</x:v>
      </x:c>
      <x:c r="B11" s="143" t="str">
        <x:v>实际海报费（元）</x:v>
      </x:c>
      <x:c r="C11" s="143" t="str">
        <x:v>金额</x:v>
      </x:c>
      <x:c r="D11" s="143" t="str">
        <x:v>按业务</x:v>
      </x:c>
      <x:c r="E11" s="143" t="str">
        <x:v>实际发生的海报费用</x:v>
      </x:c>
      <x:c r="F11" s="143" t="str">
        <x:v>有费用时需上传DM海报附件</x:v>
      </x:c>
      <x:c r="G11" s="144" t="str">
        <x:v>1234.12</x:v>
      </x:c>
    </x:row>
    <x:row r="12">
      <x:c r="A12" s="142" t="str">
        <x:v>活动执行汇总</x:v>
      </x:c>
      <x:c r="B12" s="143" t="str">
        <x:v>实际费用合计（元）</x:v>
      </x:c>
      <x:c r="C12" s="143" t="str">
        <x:v>金额</x:v>
      </x:c>
      <x:c r="D12" s="143" t="str">
        <x:v>派生</x:v>
      </x:c>
      <x:c r="E12" s="143" t="str">
        <x:v>变价补差与海报费合计</x:v>
      </x:c>
      <x:c r="F12" s="143" t="str">
        <x:v>实际变价补差+实际海报费</x:v>
      </x:c>
      <x:c r="G12" s="144" t="str">
        <x:v>2766.02</x:v>
      </x:c>
    </x:row>
    <x:row r="13">
      <x:c r="A13" s="142" t="str">
        <x:v>活动执行汇总</x:v>
      </x:c>
      <x:c r="B13" s="143" t="str">
        <x:v>我司实际承担合计（元）</x:v>
      </x:c>
      <x:c r="C13" s="143" t="str">
        <x:v>金额</x:v>
      </x:c>
      <x:c r="D13" s="143" t="str">
        <x:v>是</x:v>
      </x:c>
      <x:c r="E13" s="143" t="str">
        <x:v>我司实际承担金额</x:v>
      </x:c>
      <x:c r="F13" s="143" t="str">
        <x:v>人工确认或业务计算结果</x:v>
      </x:c>
      <x:c r="G13" s="144" t="str">
        <x:v>2214.56</x:v>
      </x:c>
    </x:row>
    <x:row r="14">
      <x:c r="A14" s="142" t="str">
        <x:v>活动执行汇总</x:v>
      </x:c>
      <x:c r="B14" s="143" t="str">
        <x:v>我司承担比例</x:v>
      </x:c>
      <x:c r="C14" s="143" t="str">
        <x:v>百分比</x:v>
      </x:c>
      <x:c r="D14" s="143" t="str">
        <x:v>派生</x:v>
      </x:c>
      <x:c r="E14" s="143" t="str">
        <x:v>我司承担金额占实际费用合计比例</x:v>
      </x:c>
      <x:c r="F14" s="143" t="str">
        <x:v>我司承担合计/实际费用合计</x:v>
      </x:c>
      <x:c r="G14" s="144" t="str">
        <x:v>80.06%</x:v>
      </x:c>
    </x:row>
    <x:row r="15">
      <x:c r="A15" s="142" t="str">
        <x:v>活动执行汇总</x:v>
      </x:c>
      <x:c r="B15" s="143" t="str">
        <x:v>实际促销POS额（元）</x:v>
      </x:c>
      <x:c r="C15" s="143" t="str">
        <x:v>金额</x:v>
      </x:c>
      <x:c r="D15" s="143" t="str">
        <x:v>派生</x:v>
      </x:c>
      <x:c r="E15" s="143" t="str">
        <x:v>全部商品POS销售额合计</x:v>
      </x:c>
      <x:c r="F15" s="143" t="str">
        <x:v>按活动ID汇总商品明细</x:v>
      </x:c>
      <x:c r="G15" s="144" t="str">
        <x:v>5867.40</x:v>
      </x:c>
    </x:row>
    <x:row r="16">
      <x:c r="A16" s="142" t="str">
        <x:v>活动执行汇总</x:v>
      </x:c>
      <x:c r="B16" s="143" t="str">
        <x:v>费销比</x:v>
      </x:c>
      <x:c r="C16" s="143" t="str">
        <x:v>百分比</x:v>
      </x:c>
      <x:c r="D16" s="143" t="str">
        <x:v>派生</x:v>
      </x:c>
      <x:c r="E16" s="143" t="str">
        <x:v>我司承担金额占促销POS额比例</x:v>
      </x:c>
      <x:c r="F16" s="143" t="str">
        <x:v>我司承担合计/实际促销POS额</x:v>
      </x:c>
      <x:c r="G16" s="144" t="str">
        <x:v>37.74%</x:v>
      </x:c>
    </x:row>
    <x:row r="17">
      <x:c r="A17" s="142" t="str">
        <x:v>活动执行汇总</x:v>
      </x:c>
      <x:c r="B17" s="143" t="str">
        <x:v>扣减金额（元）</x:v>
      </x:c>
      <x:c r="C17" s="143" t="str">
        <x:v>金额</x:v>
      </x:c>
      <x:c r="D17" s="143" t="str">
        <x:v>按业务</x:v>
      </x:c>
      <x:c r="E17" s="143" t="str">
        <x:v>审核或结算时扣减金额</x:v>
      </x:c>
      <x:c r="F17" s="143" t="str">
        <x:v>非负金额</x:v>
      </x:c>
      <x:c r="G17" s="144" t="str">
        <x:v>700.99</x:v>
      </x:c>
    </x:row>
    <x:row r="18">
      <x:c r="A18" s="142" t="str">
        <x:v>活动执行汇总</x:v>
      </x:c>
      <x:c r="B18" s="143" t="str">
        <x:v>上账金额（元）</x:v>
      </x:c>
      <x:c r="C18" s="143" t="str">
        <x:v>金额</x:v>
      </x:c>
      <x:c r="D18" s="143" t="str">
        <x:v>派生</x:v>
      </x:c>
      <x:c r="E18" s="143" t="str">
        <x:v>最终可上账金额</x:v>
      </x:c>
      <x:c r="F18" s="143" t="str">
        <x:v>我司承担合计-扣减金额</x:v>
      </x:c>
      <x:c r="G18" s="144" t="str">
        <x:v>1513.57</x:v>
      </x:c>
    </x:row>
    <x:row r="19">
      <x:c r="A19" s="142" t="str">
        <x:v>活动执行汇总</x:v>
      </x:c>
      <x:c r="B19" s="143" t="str">
        <x:v>扣减原因</x:v>
      </x:c>
      <x:c r="C19" s="143" t="str">
        <x:v>文本</x:v>
      </x:c>
      <x:c r="D19" s="143" t="str">
        <x:v>扣减时是</x:v>
      </x:c>
      <x:c r="E19" s="143" t="str">
        <x:v>扣减金额的原因说明</x:v>
      </x:c>
      <x:c r="F19" s="143" t="str">
        <x:v>扣减金额大于0时必填</x:v>
      </x:c>
      <x:c r="G19" s="144" t="str">
        <x:v>662+52</x:v>
      </x:c>
    </x:row>
    <x:row r="20">
      <x:c r="A20" s="142" t="str">
        <x:v>活动执行汇总</x:v>
      </x:c>
      <x:c r="B20" s="143" t="str">
        <x:v>备注说明</x:v>
      </x:c>
      <x:c r="C20" s="143" t="str">
        <x:v>文本</x:v>
      </x:c>
      <x:c r="D20" s="143" t="str">
        <x:v>否</x:v>
      </x:c>
      <x:c r="E20" s="143" t="str">
        <x:v>活动执行补充说明</x:v>
      </x:c>
      <x:c r="F20" s="143" t="str">
        <x:v>可为空</x:v>
      </x:c>
      <x:c r="G20" s="144" t="str">
        <x:v>-</x:v>
      </x:c>
    </x:row>
    <x:row r="21">
      <x:c r="A21" s="142" t="str">
        <x:v>活动执行汇总</x:v>
      </x:c>
      <x:c r="B21" s="143" t="str">
        <x:v>状态</x:v>
      </x:c>
      <x:c r="C21" s="143" t="str">
        <x:v>枚举</x:v>
      </x:c>
      <x:c r="D21" s="143" t="str">
        <x:v>建议</x:v>
      </x:c>
      <x:c r="E21" s="143" t="str">
        <x:v>活动单据状态</x:v>
      </x:c>
      <x:c r="F21" s="143" t="str">
        <x:v>草稿/待审核/已审核/已驳回</x:v>
      </x:c>
      <x:c r="G21" s="144" t="str">
        <x:v>待审核</x:v>
      </x:c>
    </x:row>
    <x:row r="22">
      <x:c r="A22" s="142" t="str">
        <x:v>活动执行汇总</x:v>
      </x:c>
      <x:c r="B22" s="143" t="str">
        <x:v>创建人</x:v>
      </x:c>
      <x:c r="C22" s="143" t="str">
        <x:v>文本</x:v>
      </x:c>
      <x:c r="D22" s="143" t="str">
        <x:v>建议</x:v>
      </x:c>
      <x:c r="E22" s="143" t="str">
        <x:v>单据创建人</x:v>
      </x:c>
      <x:c r="F22" s="143" t="str">
        <x:v>来自操作日志或单据元数据</x:v>
      </x:c>
      <x:c r="G22" s="144" t="str">
        <x:v>钱佳音</x:v>
      </x:c>
    </x:row>
    <x:row r="23">
      <x:c r="A23" s="142" t="str">
        <x:v>活动执行汇总</x:v>
      </x:c>
      <x:c r="B23" s="143" t="str">
        <x:v>创建时间</x:v>
      </x:c>
      <x:c r="C23" s="143" t="str">
        <x:v>日期时间</x:v>
      </x:c>
      <x:c r="D23" s="143" t="str">
        <x:v>建议</x:v>
      </x:c>
      <x:c r="E23" s="143" t="str">
        <x:v>单据创建时间</x:v>
      </x:c>
      <x:c r="F23" s="143" t="str">
        <x:v>Excel真实日期时间值</x:v>
      </x:c>
      <x:c r="G23" s="144" t="str">
        <x:v>2026-03-08 10:19:17</x:v>
      </x:c>
    </x:row>
    <x:row r="24">
      <x:c r="A24" s="142" t="str">
        <x:v>活动商品明细</x:v>
      </x:c>
      <x:c r="B24" s="143" t="str">
        <x:v>商品名称</x:v>
      </x:c>
      <x:c r="C24" s="143" t="str">
        <x:v>文本</x:v>
      </x:c>
      <x:c r="D24" s="143" t="str">
        <x:v>是</x:v>
      </x:c>
      <x:c r="E24" s="143" t="str">
        <x:v>参与活动商品名称</x:v>
      </x:c>
      <x:c r="F24" s="143" t="str">
        <x:v>每件商品一行</x:v>
      </x:c>
      <x:c r="G24" s="144" t="str">
        <x:v>虎皮鸡爪…</x:v>
      </x:c>
    </x:row>
    <x:row r="25">
      <x:c r="A25" s="142" t="str">
        <x:v>活动商品明细</x:v>
      </x:c>
      <x:c r="B25" s="143" t="str">
        <x:v>商品单位</x:v>
      </x:c>
      <x:c r="C25" s="143" t="str">
        <x:v>文本</x:v>
      </x:c>
      <x:c r="D25" s="143" t="str">
        <x:v>是</x:v>
      </x:c>
      <x:c r="E25" s="143" t="str">
        <x:v>商品销售单位</x:v>
      </x:c>
      <x:c r="F25" s="143" t="str">
        <x:v>例如罐、袋、盒</x:v>
      </x:c>
      <x:c r="G25" s="144" t="str">
        <x:v>罐</x:v>
      </x:c>
    </x:row>
    <x:row r="26">
      <x:c r="A26" s="142" t="str">
        <x:v>活动商品明细</x:v>
      </x:c>
      <x:c r="B26" s="143" t="str">
        <x:v>实际销量</x:v>
      </x:c>
      <x:c r="C26" s="143" t="str">
        <x:v>数值</x:v>
      </x:c>
      <x:c r="D26" s="143" t="str">
        <x:v>是</x:v>
      </x:c>
      <x:c r="E26" s="143" t="str">
        <x:v>活动期间实际销量</x:v>
      </x:c>
      <x:c r="F26" s="143" t="str">
        <x:v>非负数</x:v>
      </x:c>
      <x:c r="G26" s="144" t="str">
        <x:v>120</x:v>
      </x:c>
    </x:row>
    <x:row r="27">
      <x:c r="A27" s="142" t="str">
        <x:v>活动商品明细</x:v>
      </x:c>
      <x:c r="B27" s="143" t="str">
        <x:v>正常销售单价（元）</x:v>
      </x:c>
      <x:c r="C27" s="143" t="str">
        <x:v>金额</x:v>
      </x:c>
      <x:c r="D27" s="143" t="str">
        <x:v>是</x:v>
      </x:c>
      <x:c r="E27" s="143" t="str">
        <x:v>正常销售单价</x:v>
      </x:c>
      <x:c r="F27" s="143" t="str">
        <x:v>保留两位小数</x:v>
      </x:c>
      <x:c r="G27" s="144" t="str">
        <x:v>18.88</x:v>
      </x:c>
    </x:row>
    <x:row r="28">
      <x:c r="A28" s="142" t="str">
        <x:v>活动商品明细</x:v>
      </x:c>
      <x:c r="B28" s="143" t="str">
        <x:v>促销补差单价（元）</x:v>
      </x:c>
      <x:c r="C28" s="143" t="str">
        <x:v>金额</x:v>
      </x:c>
      <x:c r="D28" s="143" t="str">
        <x:v>是</x:v>
      </x:c>
      <x:c r="E28" s="143" t="str">
        <x:v>每件商品促销补差单价</x:v>
      </x:c>
      <x:c r="F28" s="143" t="str">
        <x:v>保留两位或四位小数</x:v>
      </x:c>
      <x:c r="G28" s="144" t="str">
        <x:v>7.84</x:v>
      </x:c>
    </x:row>
    <x:row r="29">
      <x:c r="A29" s="142" t="str">
        <x:v>活动商品明细</x:v>
      </x:c>
      <x:c r="B29" s="143" t="str">
        <x:v>实际变价补差金额（元）</x:v>
      </x:c>
      <x:c r="C29" s="143" t="str">
        <x:v>金额</x:v>
      </x:c>
      <x:c r="D29" s="143" t="str">
        <x:v>派生</x:v>
      </x:c>
      <x:c r="E29" s="143" t="str">
        <x:v>单商品补差金额</x:v>
      </x:c>
      <x:c r="F29" s="143" t="str">
        <x:v>实际销量×促销补差单价</x:v>
      </x:c>
      <x:c r="G29" s="144" t="str">
        <x:v>940.80</x:v>
      </x:c>
    </x:row>
    <x:row r="30">
      <x:c r="A30" s="142" t="str">
        <x:v>活动商品明细</x:v>
      </x:c>
      <x:c r="B30" s="143" t="str">
        <x:v>POS销售额（元）</x:v>
      </x:c>
      <x:c r="C30" s="143" t="str">
        <x:v>金额</x:v>
      </x:c>
      <x:c r="D30" s="143" t="str">
        <x:v>派生</x:v>
      </x:c>
      <x:c r="E30" s="143" t="str">
        <x:v>单商品POS销售额</x:v>
      </x:c>
      <x:c r="F30" s="143" t="str">
        <x:v>实际销量×正常销售单价</x:v>
      </x:c>
      <x:c r="G30" s="144" t="str">
        <x:v>2265.60</x:v>
      </x:c>
    </x:row>
    <x:row r="31">
      <x:c r="A31" s="142" t="str">
        <x:v>活动附件清单</x:v>
      </x:c>
      <x:c r="B31" s="143" t="str">
        <x:v>附件分类</x:v>
      </x:c>
      <x:c r="C31" s="143" t="str">
        <x:v>枚举</x:v>
      </x:c>
      <x:c r="D31" s="143" t="str">
        <x:v>是</x:v>
      </x:c>
      <x:c r="E31" s="143" t="str">
        <x:v>页面中的附件类别</x:v>
      </x:c>
      <x:c r="F31" s="143" t="str">
        <x:v>销售数据结案表/扣款凭证/价签卡/DM海报/陈列照片</x:v>
      </x:c>
      <x:c r="G31" s="144" t="str">
        <x:v>销售数据结案表</x:v>
      </x:c>
    </x:row>
    <x:row r="32">
      <x:c r="A32" s="142" t="str">
        <x:v>活动附件清单</x:v>
      </x:c>
      <x:c r="B32" s="143" t="str">
        <x:v>文件名称</x:v>
      </x:c>
      <x:c r="C32" s="143" t="str">
        <x:v>文本</x:v>
      </x:c>
      <x:c r="D32" s="143" t="str">
        <x:v>上传时是</x:v>
      </x:c>
      <x:c r="E32" s="143" t="str">
        <x:v>上传文件原始名称</x:v>
      </x:c>
      <x:c r="F32" s="143" t="str">
        <x:v>未上传时可为空</x:v>
      </x:c>
      <x:c r="G32" s="144" t="str">
        <x:v>订单列表(12).xls</x:v>
      </x:c>
    </x:row>
    <x:row r="33">
      <x:c r="A33" s="142" t="str">
        <x:v>活动附件清单</x:v>
      </x:c>
      <x:c r="B33" s="143" t="str">
        <x:v>文件格式</x:v>
      </x:c>
      <x:c r="C33" s="143" t="str">
        <x:v>文本</x:v>
      </x:c>
      <x:c r="D33" s="143" t="str">
        <x:v>上传时是</x:v>
      </x:c>
      <x:c r="E33" s="143" t="str">
        <x:v>文件扩展名</x:v>
      </x:c>
      <x:c r="F33" s="143" t="str">
        <x:v>xls/xlsx/pdf/doc/docx/jpg/png等</x:v>
      </x:c>
      <x:c r="G33" s="144" t="str">
        <x:v>xls</x:v>
      </x:c>
    </x:row>
    <x:row r="34">
      <x:c r="A34" s="142" t="str">
        <x:v>活动附件清单</x:v>
      </x:c>
      <x:c r="B34" s="143" t="str">
        <x:v>是否水印</x:v>
      </x:c>
      <x:c r="C34" s="143" t="str">
        <x:v>布尔/枚举</x:v>
      </x:c>
      <x:c r="D34" s="143" t="str">
        <x:v>建议</x:v>
      </x:c>
      <x:c r="E34" s="143" t="str">
        <x:v>图片类附件是否包含水印</x:v>
      </x:c>
      <x:c r="F34" s="143" t="str">
        <x:v>是/否</x:v>
      </x:c>
      <x:c r="G34" s="144" t="str">
        <x:v>是</x:v>
      </x:c>
    </x:row>
    <x:row r="35">
      <x:c r="A35" s="142" t="str">
        <x:v>活动附件清单</x:v>
      </x:c>
      <x:c r="B35" s="143" t="str">
        <x:v>上传状态</x:v>
      </x:c>
      <x:c r="C35" s="143" t="str">
        <x:v>枚举</x:v>
      </x:c>
      <x:c r="D35" s="143" t="str">
        <x:v>是</x:v>
      </x:c>
      <x:c r="E35" s="143" t="str">
        <x:v>附件当前状态</x:v>
      </x:c>
      <x:c r="F35" s="143" t="str">
        <x:v>已上传/未上传/已删除</x:v>
      </x:c>
      <x:c r="G35" s="144" t="str">
        <x:v>已上传</x:v>
      </x:c>
    </x:row>
    <x:row r="36">
      <x:c r="A36" s="142" t="str">
        <x:v>活动附件清单</x:v>
      </x:c>
      <x:c r="B36" s="143" t="str">
        <x:v>文件URL/存储路径</x:v>
      </x:c>
      <x:c r="C36" s="143" t="str">
        <x:v>文本</x:v>
      </x:c>
      <x:c r="D36" s="143" t="str">
        <x:v>上传时是</x:v>
      </x:c>
      <x:c r="E36" s="143" t="str">
        <x:v>供导出用户访问附件的地址</x:v>
      </x:c>
      <x:c r="F36" s="143" t="str">
        <x:v>建议短时签名URL或受控系统路径</x:v>
      </x:c>
      <x:c r="G36" s="144" t="str">
        <x:v>/files/activity/...</x:v>
      </x:c>
    </x:row>
    <x:row r="37">
      <x:c r="A37" s="142" t="str">
        <x:v>活动操作日志</x:v>
      </x:c>
      <x:c r="B37" s="143" t="str">
        <x:v>操作人</x:v>
      </x:c>
      <x:c r="C37" s="143" t="str">
        <x:v>文本</x:v>
      </x:c>
      <x:c r="D37" s="143" t="str">
        <x:v>是</x:v>
      </x:c>
      <x:c r="E37" s="143" t="str">
        <x:v>执行操作的用户</x:v>
      </x:c>
      <x:c r="F37" s="143" t="str">
        <x:v>记录显示名称或账号</x:v>
      </x:c>
      <x:c r="G37" s="144" t="str">
        <x:v>钱佳音</x:v>
      </x:c>
    </x:row>
    <x:row r="38">
      <x:c r="A38" s="142" t="str">
        <x:v>活动操作日志</x:v>
      </x:c>
      <x:c r="B38" s="143" t="str">
        <x:v>操作类型</x:v>
      </x:c>
      <x:c r="C38" s="143" t="str">
        <x:v>枚举</x:v>
      </x:c>
      <x:c r="D38" s="143" t="str">
        <x:v>是</x:v>
      </x:c>
      <x:c r="E38" s="143" t="str">
        <x:v>操作动作</x:v>
      </x:c>
      <x:c r="F38" s="143" t="str">
        <x:v>创建/编辑/提交/审核/驳回/取消</x:v>
      </x:c>
      <x:c r="G38" s="144" t="str">
        <x:v>创建</x:v>
      </x:c>
    </x:row>
    <x:row r="39">
      <x:c r="A39" s="142" t="str">
        <x:v>活动操作日志</x:v>
      </x:c>
      <x:c r="B39" s="143" t="str">
        <x:v>操作结果</x:v>
      </x:c>
      <x:c r="C39" s="143" t="str">
        <x:v>枚举</x:v>
      </x:c>
      <x:c r="D39" s="143" t="str">
        <x:v>建议</x:v>
      </x:c>
      <x:c r="E39" s="143" t="str">
        <x:v>操作是否成功</x:v>
      </x:c>
      <x:c r="F39" s="143" t="str">
        <x:v>成功/失败</x:v>
      </x:c>
      <x:c r="G39" s="144" t="str">
        <x:v>成功</x:v>
      </x:c>
    </x:row>
    <x:row r="40">
      <x:c r="A40" s="145" t="str">
        <x:v>活动操作日志</x:v>
      </x:c>
      <x:c r="B40" s="146" t="str">
        <x:v>操作时间</x:v>
      </x:c>
      <x:c r="C40" s="146" t="str">
        <x:v>日期时间</x:v>
      </x:c>
      <x:c r="D40" s="146" t="str">
        <x:v>是</x:v>
      </x:c>
      <x:c r="E40" s="146" t="str">
        <x:v>操作发生时间</x:v>
      </x:c>
      <x:c r="F40" s="146" t="str">
        <x:v>Excel真实日期时间值</x:v>
      </x:c>
      <x:c r="G40" s="147" t="str">
        <x:v>2026-03-08 10:19:17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7086f875c684560"/>
  </x:tableParts>
</x:worksheet>
</file>